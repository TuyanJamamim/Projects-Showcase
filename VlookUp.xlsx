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an jamamim\Downloads\Excel Projects\"/>
    </mc:Choice>
  </mc:AlternateContent>
  <xr:revisionPtr revIDLastSave="0" documentId="13_ncr:1_{233FC10C-AA41-40AA-A256-5B08F276DE2B}" xr6:coauthVersionLast="47" xr6:coauthVersionMax="47" xr10:uidLastSave="{00000000-0000-0000-0000-000000000000}"/>
  <bookViews>
    <workbookView xWindow="-110" yWindow="-110" windowWidth="19420" windowHeight="10300" xr2:uid="{61FAC40D-46CA-4374-B010-6279E54F67FD}"/>
  </bookViews>
  <sheets>
    <sheet name="Sheet1" sheetId="1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6" i="1"/>
  <c r="I4" i="1"/>
</calcChain>
</file>

<file path=xl/sharedStrings.xml><?xml version="1.0" encoding="utf-8"?>
<sst xmlns="http://schemas.openxmlformats.org/spreadsheetml/2006/main" count="240" uniqueCount="64">
  <si>
    <t>Title</t>
  </si>
  <si>
    <t>Date Purchased</t>
  </si>
  <si>
    <t>Rating</t>
  </si>
  <si>
    <t>Value</t>
  </si>
  <si>
    <t>Genre</t>
  </si>
  <si>
    <t>Location</t>
  </si>
  <si>
    <t>Star Wars</t>
  </si>
  <si>
    <t>PG</t>
  </si>
  <si>
    <t>Science Fiction</t>
  </si>
  <si>
    <t>Living Room</t>
  </si>
  <si>
    <t>The Empire Strikes Back</t>
  </si>
  <si>
    <t>The Return of the Jedi</t>
  </si>
  <si>
    <t>Gremlins</t>
  </si>
  <si>
    <t>PG-13</t>
  </si>
  <si>
    <t>Fantasy</t>
  </si>
  <si>
    <t>Basement</t>
  </si>
  <si>
    <t>The Princess Bride</t>
  </si>
  <si>
    <t>I Am Legend</t>
  </si>
  <si>
    <t>Horror</t>
  </si>
  <si>
    <t>The Good Dinosaur</t>
  </si>
  <si>
    <t>Childrens</t>
  </si>
  <si>
    <t>The Lion, The Witch, and the Wardrobe</t>
  </si>
  <si>
    <t>The BFG</t>
  </si>
  <si>
    <t>Risen</t>
  </si>
  <si>
    <t>Historical</t>
  </si>
  <si>
    <t>The Martian</t>
  </si>
  <si>
    <t>Young Sherlock Holmes</t>
  </si>
  <si>
    <t>Mystery</t>
  </si>
  <si>
    <t>Ladyhawke</t>
  </si>
  <si>
    <t>Stardust</t>
  </si>
  <si>
    <t>Mystery Men</t>
  </si>
  <si>
    <t>The Man Who Knew Too Much</t>
  </si>
  <si>
    <t>Groundhog Day</t>
  </si>
  <si>
    <t>Comedy</t>
  </si>
  <si>
    <t>Dirty Rotten Scoundrels</t>
  </si>
  <si>
    <t>Name</t>
  </si>
  <si>
    <t>Row</t>
  </si>
  <si>
    <t>Segment</t>
  </si>
  <si>
    <t>Units Sold</t>
  </si>
  <si>
    <t>Mfg Price</t>
  </si>
  <si>
    <t>Sale Price</t>
  </si>
  <si>
    <t>Gross Sales</t>
  </si>
  <si>
    <t>Discount</t>
  </si>
  <si>
    <t>Sales</t>
  </si>
  <si>
    <t>COGS</t>
  </si>
  <si>
    <t>Profit</t>
  </si>
  <si>
    <t>Date</t>
  </si>
  <si>
    <t>Month</t>
  </si>
  <si>
    <t>Year</t>
  </si>
  <si>
    <t>Low</t>
  </si>
  <si>
    <t>January</t>
  </si>
  <si>
    <t>June</t>
  </si>
  <si>
    <t>December</t>
  </si>
  <si>
    <t>March</t>
  </si>
  <si>
    <t>October</t>
  </si>
  <si>
    <t>April</t>
  </si>
  <si>
    <t>July</t>
  </si>
  <si>
    <t>September</t>
  </si>
  <si>
    <t>November</t>
  </si>
  <si>
    <t>February</t>
  </si>
  <si>
    <t>May</t>
  </si>
  <si>
    <t>August</t>
  </si>
  <si>
    <t>Total value of DVDs:</t>
  </si>
  <si>
    <t>Grand 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</si>
</sst>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2C9-7EA7-4E32-869E-CC5A26ACE264}">
  <dimension ref="A1:I19"/>
  <sheetViews>
    <sheetView tabSelected="1" topLeftCell="A6" workbookViewId="0">
      <selection activeCell="K13" sqref="K13"/>
    </sheetView>
  </sheetViews>
  <sheetFormatPr defaultRowHeight="14.5" x14ac:dyDescent="0.35"/>
  <cols>
    <col min="1" max="1" width="8.6328125" bestFit="1" customWidth="1"/>
    <col min="2" max="2" width="8.54296875" bestFit="1" customWidth="1"/>
  </cols>
  <sheetData>
    <row r="1" spans="1:9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9" ht="42.5" thickBot="1" x14ac:dyDescent="0.4">
      <c r="A2" s="3" t="s">
        <v>6</v>
      </c>
      <c r="B2" s="3">
        <v>2007</v>
      </c>
      <c r="C2" s="3" t="s">
        <v>7</v>
      </c>
      <c r="D2" s="3">
        <v>5</v>
      </c>
      <c r="E2" s="3" t="s">
        <v>8</v>
      </c>
      <c r="F2" s="4" t="s">
        <v>9</v>
      </c>
    </row>
    <row r="3" spans="1:9" ht="56.5" thickBot="1" x14ac:dyDescent="0.4">
      <c r="A3" s="3" t="s">
        <v>10</v>
      </c>
      <c r="B3" s="3">
        <v>2010</v>
      </c>
      <c r="C3" s="3" t="s">
        <v>7</v>
      </c>
      <c r="D3" s="3">
        <v>9</v>
      </c>
      <c r="E3" s="3" t="s">
        <v>8</v>
      </c>
      <c r="F3" s="4" t="s">
        <v>9</v>
      </c>
      <c r="H3" s="5" t="s">
        <v>35</v>
      </c>
      <c r="I3" s="5" t="s">
        <v>2</v>
      </c>
    </row>
    <row r="4" spans="1:9" ht="56.5" thickBot="1" x14ac:dyDescent="0.4">
      <c r="A4" s="3" t="s">
        <v>11</v>
      </c>
      <c r="B4" s="3">
        <v>2011</v>
      </c>
      <c r="C4" s="3" t="s">
        <v>7</v>
      </c>
      <c r="D4" s="3">
        <v>6</v>
      </c>
      <c r="E4" s="3" t="s">
        <v>8</v>
      </c>
      <c r="F4" s="4" t="s">
        <v>9</v>
      </c>
      <c r="H4" s="5" t="s">
        <v>10</v>
      </c>
      <c r="I4" t="str">
        <f>VLOOKUP(H4,A1:F19,3,FALSE)</f>
        <v>PG</v>
      </c>
    </row>
    <row r="5" spans="1:9" ht="28.5" thickBot="1" x14ac:dyDescent="0.4">
      <c r="A5" s="3" t="s">
        <v>12</v>
      </c>
      <c r="B5" s="3">
        <v>2002</v>
      </c>
      <c r="C5" s="3" t="s">
        <v>13</v>
      </c>
      <c r="D5" s="3">
        <v>3</v>
      </c>
      <c r="E5" s="3" t="s">
        <v>14</v>
      </c>
      <c r="F5" s="4" t="s">
        <v>15</v>
      </c>
    </row>
    <row r="6" spans="1:9" ht="42.5" thickBot="1" x14ac:dyDescent="0.4">
      <c r="A6" s="3" t="s">
        <v>16</v>
      </c>
      <c r="B6" s="3">
        <v>1999</v>
      </c>
      <c r="C6" s="3" t="s">
        <v>7</v>
      </c>
      <c r="D6" s="3">
        <v>7</v>
      </c>
      <c r="E6" s="3" t="s">
        <v>14</v>
      </c>
      <c r="F6" s="4" t="s">
        <v>9</v>
      </c>
      <c r="H6" t="str">
        <f>VLOOKUP(H7,A2:F19,3,FALSE)</f>
        <v>PG</v>
      </c>
    </row>
    <row r="7" spans="1:9" ht="28.5" thickBot="1" x14ac:dyDescent="0.4">
      <c r="A7" s="3" t="s">
        <v>17</v>
      </c>
      <c r="B7" s="3">
        <v>2009</v>
      </c>
      <c r="C7" s="3" t="s">
        <v>13</v>
      </c>
      <c r="D7" s="3">
        <v>2</v>
      </c>
      <c r="E7" s="3" t="s">
        <v>18</v>
      </c>
      <c r="F7" s="4" t="s">
        <v>15</v>
      </c>
      <c r="H7" t="s">
        <v>6</v>
      </c>
    </row>
    <row r="8" spans="1:9" ht="56.5" thickBot="1" x14ac:dyDescent="0.4">
      <c r="A8" s="3" t="s">
        <v>19</v>
      </c>
      <c r="B8" s="3">
        <v>2017</v>
      </c>
      <c r="C8" s="3" t="s">
        <v>7</v>
      </c>
      <c r="D8" s="3">
        <v>14</v>
      </c>
      <c r="E8" s="3" t="s">
        <v>20</v>
      </c>
      <c r="F8" s="4" t="s">
        <v>15</v>
      </c>
    </row>
    <row r="9" spans="1:9" ht="98.5" thickBot="1" x14ac:dyDescent="0.4">
      <c r="A9" s="3" t="s">
        <v>21</v>
      </c>
      <c r="B9" s="3">
        <v>2009</v>
      </c>
      <c r="C9" s="3" t="s">
        <v>13</v>
      </c>
      <c r="D9" s="3">
        <v>5</v>
      </c>
      <c r="E9" s="3" t="s">
        <v>14</v>
      </c>
      <c r="F9" s="4" t="s">
        <v>15</v>
      </c>
    </row>
    <row r="10" spans="1:9" ht="28.5" thickBot="1" x14ac:dyDescent="0.4">
      <c r="A10" s="3" t="s">
        <v>22</v>
      </c>
      <c r="B10" s="3">
        <v>2017</v>
      </c>
      <c r="C10" s="3" t="s">
        <v>7</v>
      </c>
      <c r="D10" s="3">
        <v>15</v>
      </c>
      <c r="E10" s="3" t="s">
        <v>20</v>
      </c>
      <c r="F10" s="4" t="s">
        <v>15</v>
      </c>
      <c r="H10" t="s">
        <v>35</v>
      </c>
      <c r="I10" t="s">
        <v>2</v>
      </c>
    </row>
    <row r="11" spans="1:9" ht="28.5" thickBot="1" x14ac:dyDescent="0.4">
      <c r="A11" s="3" t="s">
        <v>23</v>
      </c>
      <c r="B11" s="3">
        <v>2016</v>
      </c>
      <c r="C11" s="3" t="s">
        <v>13</v>
      </c>
      <c r="D11" s="3">
        <v>5</v>
      </c>
      <c r="E11" s="3" t="s">
        <v>24</v>
      </c>
      <c r="F11" s="4" t="s">
        <v>9</v>
      </c>
      <c r="H11" t="s">
        <v>6</v>
      </c>
      <c r="I11" t="str">
        <f>VLOOKUP(H11,A1:F19,3,FALSE)</f>
        <v>PG</v>
      </c>
    </row>
    <row r="12" spans="1:9" ht="42.5" thickBot="1" x14ac:dyDescent="0.4">
      <c r="A12" s="3" t="s">
        <v>25</v>
      </c>
      <c r="B12" s="3">
        <v>2016</v>
      </c>
      <c r="C12" s="3" t="s">
        <v>13</v>
      </c>
      <c r="D12" s="3">
        <v>6</v>
      </c>
      <c r="E12" s="3" t="s">
        <v>8</v>
      </c>
      <c r="F12" s="4" t="s">
        <v>9</v>
      </c>
    </row>
    <row r="13" spans="1:9" ht="56.5" thickBot="1" x14ac:dyDescent="0.4">
      <c r="A13" s="3" t="s">
        <v>26</v>
      </c>
      <c r="B13" s="3">
        <v>2008</v>
      </c>
      <c r="C13" s="3" t="s">
        <v>13</v>
      </c>
      <c r="D13" s="3">
        <v>15</v>
      </c>
      <c r="E13" s="3" t="s">
        <v>27</v>
      </c>
      <c r="F13" s="4" t="s">
        <v>15</v>
      </c>
    </row>
    <row r="14" spans="1:9" ht="28.5" thickBot="1" x14ac:dyDescent="0.4">
      <c r="A14" s="3" t="s">
        <v>28</v>
      </c>
      <c r="B14" s="3">
        <v>2000</v>
      </c>
      <c r="C14" s="3" t="s">
        <v>13</v>
      </c>
      <c r="D14" s="3">
        <v>10</v>
      </c>
      <c r="E14" s="3" t="s">
        <v>14</v>
      </c>
      <c r="F14" s="4" t="s">
        <v>15</v>
      </c>
    </row>
    <row r="15" spans="1:9" ht="28.5" thickBot="1" x14ac:dyDescent="0.4">
      <c r="A15" s="3" t="s">
        <v>29</v>
      </c>
      <c r="B15" s="3">
        <v>2015</v>
      </c>
      <c r="C15" s="3" t="s">
        <v>13</v>
      </c>
      <c r="D15" s="3">
        <v>4</v>
      </c>
      <c r="E15" s="3" t="s">
        <v>14</v>
      </c>
      <c r="F15" s="4" t="s">
        <v>9</v>
      </c>
    </row>
    <row r="16" spans="1:9" ht="28.5" thickBot="1" x14ac:dyDescent="0.4">
      <c r="A16" s="3" t="s">
        <v>30</v>
      </c>
      <c r="B16" s="3">
        <v>2002</v>
      </c>
      <c r="C16" s="3" t="s">
        <v>13</v>
      </c>
      <c r="D16" s="3">
        <v>2</v>
      </c>
      <c r="E16" s="3" t="s">
        <v>14</v>
      </c>
      <c r="F16" s="4" t="s">
        <v>9</v>
      </c>
    </row>
    <row r="17" spans="1:6" ht="84.5" thickBot="1" x14ac:dyDescent="0.4">
      <c r="A17" s="3" t="s">
        <v>31</v>
      </c>
      <c r="B17" s="3">
        <v>1997</v>
      </c>
      <c r="C17" s="3" t="s">
        <v>7</v>
      </c>
      <c r="D17" s="3">
        <v>9</v>
      </c>
      <c r="E17" s="3" t="s">
        <v>27</v>
      </c>
      <c r="F17" s="4" t="s">
        <v>15</v>
      </c>
    </row>
    <row r="18" spans="1:6" ht="42.5" thickBot="1" x14ac:dyDescent="0.4">
      <c r="A18" s="3" t="s">
        <v>32</v>
      </c>
      <c r="B18" s="3">
        <v>1999</v>
      </c>
      <c r="C18" s="3" t="s">
        <v>7</v>
      </c>
      <c r="D18" s="3">
        <v>6</v>
      </c>
      <c r="E18" s="3" t="s">
        <v>33</v>
      </c>
      <c r="F18" s="4" t="s">
        <v>9</v>
      </c>
    </row>
    <row r="19" spans="1:6" ht="56.5" thickBot="1" x14ac:dyDescent="0.4">
      <c r="A19" s="3" t="s">
        <v>34</v>
      </c>
      <c r="B19" s="3">
        <v>2003</v>
      </c>
      <c r="C19" s="3" t="s">
        <v>13</v>
      </c>
      <c r="D19" s="3">
        <v>5</v>
      </c>
      <c r="E19" s="3" t="s">
        <v>33</v>
      </c>
      <c r="F19" s="4" t="s">
        <v>9</v>
      </c>
    </row>
  </sheetData>
  <conditionalFormatting sqref="D2:D1048576">
    <cfRule type="cellIs" dxfId="0" priority="1" operator="greaterThan">
      <formula>9.99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5549-AAB5-4282-AF06-A16EACE6D5EC}">
  <dimension ref="A1:O71"/>
  <sheetViews>
    <sheetView topLeftCell="A44" zoomScale="80" zoomScaleNormal="80" workbookViewId="0">
      <selection activeCell="O5" sqref="O5"/>
    </sheetView>
  </sheetViews>
  <sheetFormatPr defaultRowHeight="14.5" x14ac:dyDescent="0.35"/>
  <cols>
    <col min="1" max="1" width="6.26953125" bestFit="1" customWidth="1"/>
    <col min="2" max="2" width="10.1796875" bestFit="1" customWidth="1"/>
    <col min="3" max="3" width="11.453125" bestFit="1" customWidth="1"/>
    <col min="4" max="4" width="10.54296875" bestFit="1" customWidth="1"/>
    <col min="5" max="5" width="11.1796875" bestFit="1" customWidth="1"/>
    <col min="6" max="6" width="15.08984375" bestFit="1" customWidth="1"/>
    <col min="8" max="8" width="15.08984375" bestFit="1" customWidth="1"/>
    <col min="9" max="10" width="13.453125" bestFit="1" customWidth="1"/>
    <col min="11" max="11" width="10.6328125" bestFit="1" customWidth="1"/>
    <col min="12" max="12" width="9.6328125" bestFit="1" customWidth="1"/>
    <col min="15" max="15" width="17.7265625" bestFit="1" customWidth="1"/>
  </cols>
  <sheetData>
    <row r="1" spans="1:15" ht="15" thickBot="1" x14ac:dyDescent="0.4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2" t="s">
        <v>48</v>
      </c>
    </row>
    <row r="2" spans="1:15" ht="15" thickBot="1" x14ac:dyDescent="0.4">
      <c r="A2" s="3">
        <v>1</v>
      </c>
      <c r="B2" s="3" t="s">
        <v>49</v>
      </c>
      <c r="C2" s="3">
        <v>1618.5</v>
      </c>
      <c r="D2" s="6">
        <v>3</v>
      </c>
      <c r="E2" s="6">
        <v>15</v>
      </c>
      <c r="F2" s="6">
        <v>24277.5</v>
      </c>
      <c r="G2" s="6">
        <v>0</v>
      </c>
      <c r="H2" s="6">
        <v>24277.5</v>
      </c>
      <c r="I2" s="6">
        <v>16185</v>
      </c>
      <c r="J2" s="6">
        <v>8092.5</v>
      </c>
      <c r="K2" s="7">
        <v>41640</v>
      </c>
      <c r="L2" s="3" t="s">
        <v>50</v>
      </c>
      <c r="M2" s="4">
        <v>2014</v>
      </c>
      <c r="O2" s="8" t="s">
        <v>62</v>
      </c>
    </row>
    <row r="3" spans="1:15" ht="15" thickBot="1" x14ac:dyDescent="0.4">
      <c r="A3" s="3">
        <v>2</v>
      </c>
      <c r="B3" s="3" t="s">
        <v>49</v>
      </c>
      <c r="C3" s="3">
        <v>1321</v>
      </c>
      <c r="D3" s="6">
        <v>3</v>
      </c>
      <c r="E3" s="6">
        <v>15</v>
      </c>
      <c r="F3" s="6">
        <v>19815</v>
      </c>
      <c r="G3" s="6">
        <v>0</v>
      </c>
      <c r="H3" s="6">
        <v>19815</v>
      </c>
      <c r="I3" s="6">
        <v>13210</v>
      </c>
      <c r="J3" s="6">
        <v>6605</v>
      </c>
      <c r="K3" s="7">
        <v>41640</v>
      </c>
      <c r="L3" s="3" t="s">
        <v>50</v>
      </c>
      <c r="M3" s="4">
        <v>2014</v>
      </c>
    </row>
    <row r="4" spans="1:15" ht="15" thickBot="1" x14ac:dyDescent="0.4">
      <c r="A4" s="3">
        <v>3</v>
      </c>
      <c r="B4" s="3" t="s">
        <v>49</v>
      </c>
      <c r="C4" s="3">
        <v>2178</v>
      </c>
      <c r="D4" s="6">
        <v>3</v>
      </c>
      <c r="E4" s="6">
        <v>15</v>
      </c>
      <c r="F4" s="6">
        <v>32670</v>
      </c>
      <c r="G4" s="6">
        <v>0</v>
      </c>
      <c r="H4" s="6">
        <v>32670</v>
      </c>
      <c r="I4" s="6">
        <v>21780</v>
      </c>
      <c r="J4" s="6">
        <v>10890</v>
      </c>
      <c r="K4" s="7">
        <v>41645</v>
      </c>
      <c r="L4" s="3" t="s">
        <v>51</v>
      </c>
      <c r="M4" s="4">
        <v>2014</v>
      </c>
      <c r="O4" s="8" t="s">
        <v>63</v>
      </c>
    </row>
    <row r="5" spans="1:15" ht="15" thickBot="1" x14ac:dyDescent="0.4">
      <c r="A5" s="3">
        <v>4</v>
      </c>
      <c r="B5" s="3" t="s">
        <v>49</v>
      </c>
      <c r="C5" s="3">
        <v>888</v>
      </c>
      <c r="D5" s="6">
        <v>3</v>
      </c>
      <c r="E5" s="6">
        <v>15</v>
      </c>
      <c r="F5" s="6">
        <v>13320</v>
      </c>
      <c r="G5" s="6">
        <v>0</v>
      </c>
      <c r="H5" s="6">
        <v>13320</v>
      </c>
      <c r="I5" s="6">
        <v>8880</v>
      </c>
      <c r="J5" s="6">
        <v>4440</v>
      </c>
      <c r="K5" s="7">
        <v>41645</v>
      </c>
      <c r="L5" s="3" t="s">
        <v>51</v>
      </c>
      <c r="M5" s="4">
        <v>2014</v>
      </c>
    </row>
    <row r="6" spans="1:15" ht="15" thickBot="1" x14ac:dyDescent="0.4">
      <c r="A6" s="3">
        <v>5</v>
      </c>
      <c r="B6" s="3" t="s">
        <v>49</v>
      </c>
      <c r="C6" s="3">
        <v>2470</v>
      </c>
      <c r="D6" s="6">
        <v>3</v>
      </c>
      <c r="E6" s="6">
        <v>15</v>
      </c>
      <c r="F6" s="6">
        <v>37050</v>
      </c>
      <c r="G6" s="6">
        <v>0</v>
      </c>
      <c r="H6" s="6">
        <v>37050</v>
      </c>
      <c r="I6" s="6">
        <v>24700</v>
      </c>
      <c r="J6" s="6">
        <v>12350</v>
      </c>
      <c r="K6" s="7">
        <v>41645</v>
      </c>
      <c r="L6" s="3" t="s">
        <v>51</v>
      </c>
      <c r="M6" s="4">
        <v>2014</v>
      </c>
    </row>
    <row r="7" spans="1:15" ht="28.5" thickBot="1" x14ac:dyDescent="0.4">
      <c r="A7" s="3">
        <v>6</v>
      </c>
      <c r="B7" s="3" t="s">
        <v>49</v>
      </c>
      <c r="C7" s="3">
        <v>1513</v>
      </c>
      <c r="D7" s="6">
        <v>3</v>
      </c>
      <c r="E7" s="6">
        <v>350</v>
      </c>
      <c r="F7" s="6">
        <v>529550</v>
      </c>
      <c r="G7" s="6">
        <v>0</v>
      </c>
      <c r="H7" s="6">
        <v>529550</v>
      </c>
      <c r="I7" s="6">
        <v>393380</v>
      </c>
      <c r="J7" s="6">
        <v>136170</v>
      </c>
      <c r="K7" s="7">
        <v>41651</v>
      </c>
      <c r="L7" s="3" t="s">
        <v>52</v>
      </c>
      <c r="M7" s="4">
        <v>2014</v>
      </c>
    </row>
    <row r="8" spans="1:15" ht="15" thickBot="1" x14ac:dyDescent="0.4">
      <c r="A8" s="3">
        <v>7</v>
      </c>
      <c r="B8" s="3" t="s">
        <v>49</v>
      </c>
      <c r="C8" s="3">
        <v>921</v>
      </c>
      <c r="D8" s="6">
        <v>3</v>
      </c>
      <c r="E8" s="6">
        <v>350</v>
      </c>
      <c r="F8" s="6">
        <v>322350</v>
      </c>
      <c r="G8" s="6">
        <v>0</v>
      </c>
      <c r="H8" s="6">
        <v>322350</v>
      </c>
      <c r="I8" s="6">
        <v>239460</v>
      </c>
      <c r="J8" s="6">
        <v>82890</v>
      </c>
      <c r="K8" s="7">
        <v>41642</v>
      </c>
      <c r="L8" s="3" t="s">
        <v>53</v>
      </c>
      <c r="M8" s="4">
        <v>2014</v>
      </c>
    </row>
    <row r="9" spans="1:15" ht="15" thickBot="1" x14ac:dyDescent="0.4">
      <c r="A9" s="3">
        <v>8</v>
      </c>
      <c r="B9" s="3" t="s">
        <v>49</v>
      </c>
      <c r="C9" s="3">
        <v>2518</v>
      </c>
      <c r="D9" s="6">
        <v>3</v>
      </c>
      <c r="E9" s="6">
        <v>350</v>
      </c>
      <c r="F9" s="6">
        <v>881300</v>
      </c>
      <c r="G9" s="6">
        <v>0</v>
      </c>
      <c r="H9" s="6">
        <v>881300</v>
      </c>
      <c r="I9" s="6">
        <v>654680</v>
      </c>
      <c r="J9" s="6">
        <v>226620</v>
      </c>
      <c r="K9" s="7">
        <v>41645</v>
      </c>
      <c r="L9" s="3" t="s">
        <v>51</v>
      </c>
      <c r="M9" s="4">
        <v>2014</v>
      </c>
    </row>
    <row r="10" spans="1:15" ht="15" thickBot="1" x14ac:dyDescent="0.4">
      <c r="A10" s="3">
        <v>9</v>
      </c>
      <c r="B10" s="3" t="s">
        <v>49</v>
      </c>
      <c r="C10" s="3">
        <v>1545</v>
      </c>
      <c r="D10" s="6">
        <v>3</v>
      </c>
      <c r="E10" s="6">
        <v>350</v>
      </c>
      <c r="F10" s="6">
        <v>540750</v>
      </c>
      <c r="G10" s="6">
        <v>0</v>
      </c>
      <c r="H10" s="6">
        <v>540750</v>
      </c>
      <c r="I10" s="6">
        <v>401700</v>
      </c>
      <c r="J10" s="6">
        <v>139050</v>
      </c>
      <c r="K10" s="7">
        <v>41645</v>
      </c>
      <c r="L10" s="3" t="s">
        <v>51</v>
      </c>
      <c r="M10" s="4">
        <v>2014</v>
      </c>
    </row>
    <row r="11" spans="1:15" ht="15" thickBot="1" x14ac:dyDescent="0.4">
      <c r="A11" s="3">
        <v>10</v>
      </c>
      <c r="B11" s="3" t="s">
        <v>49</v>
      </c>
      <c r="C11" s="3">
        <v>912</v>
      </c>
      <c r="D11" s="6">
        <v>3</v>
      </c>
      <c r="E11" s="6">
        <v>350</v>
      </c>
      <c r="F11" s="6">
        <v>319200</v>
      </c>
      <c r="G11" s="6">
        <v>0</v>
      </c>
      <c r="H11" s="6">
        <v>319200</v>
      </c>
      <c r="I11" s="6">
        <v>237120</v>
      </c>
      <c r="J11" s="6">
        <v>82080</v>
      </c>
      <c r="K11" s="7">
        <v>41645</v>
      </c>
      <c r="L11" s="3" t="s">
        <v>51</v>
      </c>
      <c r="M11" s="4">
        <v>2014</v>
      </c>
    </row>
    <row r="12" spans="1:15" ht="28.5" thickBot="1" x14ac:dyDescent="0.4">
      <c r="A12" s="3">
        <v>11</v>
      </c>
      <c r="B12" s="3" t="s">
        <v>49</v>
      </c>
      <c r="C12" s="3">
        <v>2851</v>
      </c>
      <c r="D12" s="6">
        <v>3</v>
      </c>
      <c r="E12" s="6">
        <v>350</v>
      </c>
      <c r="F12" s="6">
        <v>997850</v>
      </c>
      <c r="G12" s="6">
        <v>0</v>
      </c>
      <c r="H12" s="6">
        <v>997850</v>
      </c>
      <c r="I12" s="6">
        <v>741260</v>
      </c>
      <c r="J12" s="6">
        <v>256590</v>
      </c>
      <c r="K12" s="7">
        <v>41651</v>
      </c>
      <c r="L12" s="3" t="s">
        <v>52</v>
      </c>
      <c r="M12" s="4">
        <v>2014</v>
      </c>
    </row>
    <row r="13" spans="1:15" ht="15" thickBot="1" x14ac:dyDescent="0.4">
      <c r="A13" s="3">
        <v>12</v>
      </c>
      <c r="B13" s="3" t="s">
        <v>49</v>
      </c>
      <c r="C13" s="3">
        <v>1034</v>
      </c>
      <c r="D13" s="6">
        <v>3</v>
      </c>
      <c r="E13" s="6">
        <v>350</v>
      </c>
      <c r="F13" s="6">
        <v>361900</v>
      </c>
      <c r="G13" s="6">
        <v>0</v>
      </c>
      <c r="H13" s="6">
        <v>361900</v>
      </c>
      <c r="I13" s="6">
        <v>268840</v>
      </c>
      <c r="J13" s="6">
        <v>93060</v>
      </c>
      <c r="K13" s="7">
        <v>41284</v>
      </c>
      <c r="L13" s="3" t="s">
        <v>54</v>
      </c>
      <c r="M13" s="4">
        <v>2013</v>
      </c>
    </row>
    <row r="14" spans="1:15" ht="15" thickBot="1" x14ac:dyDescent="0.4">
      <c r="A14" s="3">
        <v>13</v>
      </c>
      <c r="B14" s="3" t="s">
        <v>49</v>
      </c>
      <c r="C14" s="3">
        <v>1292</v>
      </c>
      <c r="D14" s="6">
        <v>3</v>
      </c>
      <c r="E14" s="6">
        <v>350</v>
      </c>
      <c r="F14" s="6">
        <v>452200</v>
      </c>
      <c r="G14" s="6">
        <v>0</v>
      </c>
      <c r="H14" s="6">
        <v>452200</v>
      </c>
      <c r="I14" s="6">
        <v>335920</v>
      </c>
      <c r="J14" s="6">
        <v>116280</v>
      </c>
      <c r="K14" s="7">
        <v>41643</v>
      </c>
      <c r="L14" s="3" t="s">
        <v>55</v>
      </c>
      <c r="M14" s="4">
        <v>2014</v>
      </c>
    </row>
    <row r="15" spans="1:15" ht="15" thickBot="1" x14ac:dyDescent="0.4">
      <c r="A15" s="3">
        <v>14</v>
      </c>
      <c r="B15" s="3" t="s">
        <v>49</v>
      </c>
      <c r="C15" s="3">
        <v>1551</v>
      </c>
      <c r="D15" s="6">
        <v>3</v>
      </c>
      <c r="E15" s="6">
        <v>350</v>
      </c>
      <c r="F15" s="6">
        <v>542850</v>
      </c>
      <c r="G15" s="6">
        <v>0</v>
      </c>
      <c r="H15" s="6">
        <v>542850</v>
      </c>
      <c r="I15" s="6">
        <v>403260</v>
      </c>
      <c r="J15" s="6">
        <v>139590</v>
      </c>
      <c r="K15" s="7">
        <v>41646</v>
      </c>
      <c r="L15" s="3" t="s">
        <v>56</v>
      </c>
      <c r="M15" s="4">
        <v>2014</v>
      </c>
    </row>
    <row r="16" spans="1:15" ht="15" thickBot="1" x14ac:dyDescent="0.4">
      <c r="A16" s="3">
        <v>15</v>
      </c>
      <c r="B16" s="3" t="s">
        <v>49</v>
      </c>
      <c r="C16" s="3">
        <v>2690</v>
      </c>
      <c r="D16" s="6">
        <v>3</v>
      </c>
      <c r="E16" s="6">
        <v>350</v>
      </c>
      <c r="F16" s="6">
        <v>941500</v>
      </c>
      <c r="G16" s="6">
        <v>0</v>
      </c>
      <c r="H16" s="6">
        <v>941500</v>
      </c>
      <c r="I16" s="6">
        <v>699400</v>
      </c>
      <c r="J16" s="6">
        <v>242100</v>
      </c>
      <c r="K16" s="7">
        <v>41646</v>
      </c>
      <c r="L16" s="3" t="s">
        <v>56</v>
      </c>
      <c r="M16" s="4">
        <v>2014</v>
      </c>
    </row>
    <row r="17" spans="1:13" ht="28.5" thickBot="1" x14ac:dyDescent="0.4">
      <c r="A17" s="3">
        <v>16</v>
      </c>
      <c r="B17" s="3" t="s">
        <v>49</v>
      </c>
      <c r="C17" s="3">
        <v>583</v>
      </c>
      <c r="D17" s="6">
        <v>3</v>
      </c>
      <c r="E17" s="6">
        <v>350</v>
      </c>
      <c r="F17" s="6">
        <v>204050</v>
      </c>
      <c r="G17" s="6">
        <v>0</v>
      </c>
      <c r="H17" s="6">
        <v>204050</v>
      </c>
      <c r="I17" s="6">
        <v>151580</v>
      </c>
      <c r="J17" s="6">
        <v>52470</v>
      </c>
      <c r="K17" s="7">
        <v>41648</v>
      </c>
      <c r="L17" s="3" t="s">
        <v>57</v>
      </c>
      <c r="M17" s="4">
        <v>2014</v>
      </c>
    </row>
    <row r="18" spans="1:13" ht="28.5" thickBot="1" x14ac:dyDescent="0.4">
      <c r="A18" s="3">
        <v>17</v>
      </c>
      <c r="B18" s="3" t="s">
        <v>49</v>
      </c>
      <c r="C18" s="3">
        <v>2919</v>
      </c>
      <c r="D18" s="6">
        <v>3</v>
      </c>
      <c r="E18" s="6">
        <v>350</v>
      </c>
      <c r="F18" s="6">
        <v>1021650</v>
      </c>
      <c r="G18" s="6">
        <v>0</v>
      </c>
      <c r="H18" s="6">
        <v>1021650</v>
      </c>
      <c r="I18" s="6">
        <v>758940</v>
      </c>
      <c r="J18" s="6">
        <v>262710</v>
      </c>
      <c r="K18" s="7">
        <v>41650</v>
      </c>
      <c r="L18" s="3" t="s">
        <v>58</v>
      </c>
      <c r="M18" s="4">
        <v>2014</v>
      </c>
    </row>
    <row r="19" spans="1:13" ht="28.5" thickBot="1" x14ac:dyDescent="0.4">
      <c r="A19" s="3">
        <v>18</v>
      </c>
      <c r="B19" s="3" t="s">
        <v>49</v>
      </c>
      <c r="C19" s="3">
        <v>281</v>
      </c>
      <c r="D19" s="6">
        <v>3</v>
      </c>
      <c r="E19" s="6">
        <v>350</v>
      </c>
      <c r="F19" s="6">
        <v>98350</v>
      </c>
      <c r="G19" s="6">
        <v>0</v>
      </c>
      <c r="H19" s="6">
        <v>98350</v>
      </c>
      <c r="I19" s="6">
        <v>73060</v>
      </c>
      <c r="J19" s="6">
        <v>25290</v>
      </c>
      <c r="K19" s="7">
        <v>41651</v>
      </c>
      <c r="L19" s="3" t="s">
        <v>52</v>
      </c>
      <c r="M19" s="4">
        <v>2014</v>
      </c>
    </row>
    <row r="20" spans="1:13" ht="28.5" thickBot="1" x14ac:dyDescent="0.4">
      <c r="A20" s="3">
        <v>19</v>
      </c>
      <c r="B20" s="3" t="s">
        <v>49</v>
      </c>
      <c r="C20" s="3">
        <v>1817</v>
      </c>
      <c r="D20" s="6">
        <v>3</v>
      </c>
      <c r="E20" s="6">
        <v>20</v>
      </c>
      <c r="F20" s="6">
        <v>36340</v>
      </c>
      <c r="G20" s="6">
        <v>0</v>
      </c>
      <c r="H20" s="6">
        <v>36340</v>
      </c>
      <c r="I20" s="6">
        <v>18170</v>
      </c>
      <c r="J20" s="6">
        <v>18170</v>
      </c>
      <c r="K20" s="7">
        <v>41651</v>
      </c>
      <c r="L20" s="3" t="s">
        <v>52</v>
      </c>
      <c r="M20" s="4">
        <v>2014</v>
      </c>
    </row>
    <row r="21" spans="1:13" ht="15" thickBot="1" x14ac:dyDescent="0.4">
      <c r="A21" s="3">
        <v>20</v>
      </c>
      <c r="B21" s="3" t="s">
        <v>49</v>
      </c>
      <c r="C21" s="3">
        <v>2622</v>
      </c>
      <c r="D21" s="6">
        <v>3</v>
      </c>
      <c r="E21" s="6">
        <v>20</v>
      </c>
      <c r="F21" s="6">
        <v>52440</v>
      </c>
      <c r="G21" s="6">
        <v>0</v>
      </c>
      <c r="H21" s="6">
        <v>52440</v>
      </c>
      <c r="I21" s="6">
        <v>26220</v>
      </c>
      <c r="J21" s="6">
        <v>26220</v>
      </c>
      <c r="K21" s="7">
        <v>41641</v>
      </c>
      <c r="L21" s="3" t="s">
        <v>59</v>
      </c>
      <c r="M21" s="4">
        <v>2014</v>
      </c>
    </row>
    <row r="22" spans="1:13" ht="15" thickBot="1" x14ac:dyDescent="0.4">
      <c r="A22" s="3">
        <v>21</v>
      </c>
      <c r="B22" s="3" t="s">
        <v>49</v>
      </c>
      <c r="C22" s="3">
        <v>2798</v>
      </c>
      <c r="D22" s="6">
        <v>3</v>
      </c>
      <c r="E22" s="6">
        <v>20</v>
      </c>
      <c r="F22" s="6">
        <v>55960</v>
      </c>
      <c r="G22" s="6">
        <v>0</v>
      </c>
      <c r="H22" s="6">
        <v>55960</v>
      </c>
      <c r="I22" s="6">
        <v>27980</v>
      </c>
      <c r="J22" s="6">
        <v>27980</v>
      </c>
      <c r="K22" s="7">
        <v>41284</v>
      </c>
      <c r="L22" s="3" t="s">
        <v>54</v>
      </c>
      <c r="M22" s="4">
        <v>2013</v>
      </c>
    </row>
    <row r="23" spans="1:13" ht="15" thickBot="1" x14ac:dyDescent="0.4">
      <c r="A23" s="3">
        <v>22</v>
      </c>
      <c r="B23" s="3" t="s">
        <v>49</v>
      </c>
      <c r="C23" s="3">
        <v>1971</v>
      </c>
      <c r="D23" s="6">
        <v>3</v>
      </c>
      <c r="E23" s="6">
        <v>125</v>
      </c>
      <c r="F23" s="6">
        <v>246375</v>
      </c>
      <c r="G23" s="6">
        <v>0</v>
      </c>
      <c r="H23" s="6">
        <v>246375</v>
      </c>
      <c r="I23" s="6">
        <v>236520</v>
      </c>
      <c r="J23" s="6">
        <v>9855</v>
      </c>
      <c r="K23" s="7">
        <v>41641</v>
      </c>
      <c r="L23" s="3" t="s">
        <v>59</v>
      </c>
      <c r="M23" s="4">
        <v>2014</v>
      </c>
    </row>
    <row r="24" spans="1:13" ht="15" thickBot="1" x14ac:dyDescent="0.4">
      <c r="A24" s="3">
        <v>23</v>
      </c>
      <c r="B24" s="3" t="s">
        <v>49</v>
      </c>
      <c r="C24" s="3">
        <v>2155</v>
      </c>
      <c r="D24" s="6">
        <v>3</v>
      </c>
      <c r="E24" s="6">
        <v>125</v>
      </c>
      <c r="F24" s="6">
        <v>269375</v>
      </c>
      <c r="G24" s="6">
        <v>0</v>
      </c>
      <c r="H24" s="6">
        <v>269375</v>
      </c>
      <c r="I24" s="6">
        <v>258600</v>
      </c>
      <c r="J24" s="6">
        <v>10775</v>
      </c>
      <c r="K24" s="7">
        <v>41643</v>
      </c>
      <c r="L24" s="3" t="s">
        <v>55</v>
      </c>
      <c r="M24" s="4">
        <v>2014</v>
      </c>
    </row>
    <row r="25" spans="1:13" ht="15" thickBot="1" x14ac:dyDescent="0.4">
      <c r="A25" s="3">
        <v>24</v>
      </c>
      <c r="B25" s="3" t="s">
        <v>49</v>
      </c>
      <c r="C25" s="3">
        <v>400</v>
      </c>
      <c r="D25" s="6">
        <v>3</v>
      </c>
      <c r="E25" s="6">
        <v>125</v>
      </c>
      <c r="F25" s="6">
        <v>50000</v>
      </c>
      <c r="G25" s="6">
        <v>0</v>
      </c>
      <c r="H25" s="6">
        <v>50000</v>
      </c>
      <c r="I25" s="6">
        <v>48000</v>
      </c>
      <c r="J25" s="6">
        <v>2000</v>
      </c>
      <c r="K25" s="7">
        <v>41644</v>
      </c>
      <c r="L25" s="3" t="s">
        <v>60</v>
      </c>
      <c r="M25" s="4">
        <v>2014</v>
      </c>
    </row>
    <row r="26" spans="1:13" ht="15" thickBot="1" x14ac:dyDescent="0.4">
      <c r="A26" s="3">
        <v>25</v>
      </c>
      <c r="B26" s="3" t="s">
        <v>49</v>
      </c>
      <c r="C26" s="3">
        <v>1022</v>
      </c>
      <c r="D26" s="6">
        <v>3</v>
      </c>
      <c r="E26" s="6">
        <v>125</v>
      </c>
      <c r="F26" s="6">
        <v>127750</v>
      </c>
      <c r="G26" s="6">
        <v>0</v>
      </c>
      <c r="H26" s="6">
        <v>127750</v>
      </c>
      <c r="I26" s="6">
        <v>122640</v>
      </c>
      <c r="J26" s="6">
        <v>5110</v>
      </c>
      <c r="K26" s="7">
        <v>41647</v>
      </c>
      <c r="L26" s="3" t="s">
        <v>61</v>
      </c>
      <c r="M26" s="4">
        <v>2014</v>
      </c>
    </row>
    <row r="27" spans="1:13" ht="28.5" thickBot="1" x14ac:dyDescent="0.4">
      <c r="A27" s="3">
        <v>26</v>
      </c>
      <c r="B27" s="3" t="s">
        <v>49</v>
      </c>
      <c r="C27" s="3">
        <v>2145</v>
      </c>
      <c r="D27" s="6">
        <v>3</v>
      </c>
      <c r="E27" s="6">
        <v>125</v>
      </c>
      <c r="F27" s="6">
        <v>268125</v>
      </c>
      <c r="G27" s="6">
        <v>0</v>
      </c>
      <c r="H27" s="6">
        <v>268125</v>
      </c>
      <c r="I27" s="6">
        <v>257400</v>
      </c>
      <c r="J27" s="6">
        <v>10725</v>
      </c>
      <c r="K27" s="7">
        <v>41283</v>
      </c>
      <c r="L27" s="3" t="s">
        <v>57</v>
      </c>
      <c r="M27" s="4">
        <v>2013</v>
      </c>
    </row>
    <row r="28" spans="1:13" ht="15" thickBot="1" x14ac:dyDescent="0.4">
      <c r="A28" s="3">
        <v>27</v>
      </c>
      <c r="B28" s="3" t="s">
        <v>49</v>
      </c>
      <c r="C28" s="3">
        <v>1412</v>
      </c>
      <c r="D28" s="6">
        <v>3</v>
      </c>
      <c r="E28" s="6">
        <v>125</v>
      </c>
      <c r="F28" s="6">
        <v>176500</v>
      </c>
      <c r="G28" s="6">
        <v>0</v>
      </c>
      <c r="H28" s="6">
        <v>176500</v>
      </c>
      <c r="I28" s="6">
        <v>169440</v>
      </c>
      <c r="J28" s="6">
        <v>7060</v>
      </c>
      <c r="K28" s="7">
        <v>41284</v>
      </c>
      <c r="L28" s="3" t="s">
        <v>54</v>
      </c>
      <c r="M28" s="4">
        <v>2013</v>
      </c>
    </row>
    <row r="29" spans="1:13" ht="15" thickBot="1" x14ac:dyDescent="0.4">
      <c r="A29" s="3">
        <v>28</v>
      </c>
      <c r="B29" s="3" t="s">
        <v>49</v>
      </c>
      <c r="C29" s="3">
        <v>2636</v>
      </c>
      <c r="D29" s="6">
        <v>3</v>
      </c>
      <c r="E29" s="6">
        <v>125</v>
      </c>
      <c r="F29" s="6">
        <v>329500</v>
      </c>
      <c r="G29" s="6">
        <v>0</v>
      </c>
      <c r="H29" s="6">
        <v>329500</v>
      </c>
      <c r="I29" s="6">
        <v>316320</v>
      </c>
      <c r="J29" s="6">
        <v>13180</v>
      </c>
      <c r="K29" s="7">
        <v>41284</v>
      </c>
      <c r="L29" s="3" t="s">
        <v>54</v>
      </c>
      <c r="M29" s="4">
        <v>2013</v>
      </c>
    </row>
    <row r="30" spans="1:13" ht="28.5" thickBot="1" x14ac:dyDescent="0.4">
      <c r="A30" s="3">
        <v>29</v>
      </c>
      <c r="B30" s="3" t="s">
        <v>49</v>
      </c>
      <c r="C30" s="3">
        <v>1814</v>
      </c>
      <c r="D30" s="6">
        <v>3</v>
      </c>
      <c r="E30" s="6">
        <v>125</v>
      </c>
      <c r="F30" s="6">
        <v>226750</v>
      </c>
      <c r="G30" s="6">
        <v>0</v>
      </c>
      <c r="H30" s="6">
        <v>226750</v>
      </c>
      <c r="I30" s="6">
        <v>217680</v>
      </c>
      <c r="J30" s="6">
        <v>9070</v>
      </c>
      <c r="K30" s="7">
        <v>41651</v>
      </c>
      <c r="L30" s="3" t="s">
        <v>52</v>
      </c>
      <c r="M30" s="4">
        <v>2014</v>
      </c>
    </row>
    <row r="31" spans="1:13" ht="28.5" thickBot="1" x14ac:dyDescent="0.4">
      <c r="A31" s="3">
        <v>30</v>
      </c>
      <c r="B31" s="3" t="s">
        <v>49</v>
      </c>
      <c r="C31" s="3">
        <v>110</v>
      </c>
      <c r="D31" s="6">
        <v>3</v>
      </c>
      <c r="E31" s="6">
        <v>125</v>
      </c>
      <c r="F31" s="6">
        <v>13750</v>
      </c>
      <c r="G31" s="6">
        <v>0</v>
      </c>
      <c r="H31" s="6">
        <v>13750</v>
      </c>
      <c r="I31" s="6">
        <v>13200</v>
      </c>
      <c r="J31" s="6">
        <v>550</v>
      </c>
      <c r="K31" s="7">
        <v>41286</v>
      </c>
      <c r="L31" s="3" t="s">
        <v>52</v>
      </c>
      <c r="M31" s="4">
        <v>2013</v>
      </c>
    </row>
    <row r="32" spans="1:13" ht="15" thickBot="1" x14ac:dyDescent="0.4">
      <c r="A32" s="3">
        <v>31</v>
      </c>
      <c r="B32" s="3" t="s">
        <v>49</v>
      </c>
      <c r="C32" s="3">
        <v>1046</v>
      </c>
      <c r="D32" s="6">
        <v>5</v>
      </c>
      <c r="E32" s="6">
        <v>300</v>
      </c>
      <c r="F32" s="6">
        <v>313800</v>
      </c>
      <c r="G32" s="6">
        <v>0</v>
      </c>
      <c r="H32" s="6">
        <v>313800</v>
      </c>
      <c r="I32" s="6">
        <v>261500</v>
      </c>
      <c r="J32" s="6">
        <v>52300</v>
      </c>
      <c r="K32" s="7">
        <v>41643</v>
      </c>
      <c r="L32" s="3" t="s">
        <v>55</v>
      </c>
      <c r="M32" s="4">
        <v>2014</v>
      </c>
    </row>
    <row r="33" spans="1:13" ht="15" thickBot="1" x14ac:dyDescent="0.4">
      <c r="A33" s="3">
        <v>32</v>
      </c>
      <c r="B33" s="3" t="s">
        <v>49</v>
      </c>
      <c r="C33" s="3">
        <v>493</v>
      </c>
      <c r="D33" s="6">
        <v>5</v>
      </c>
      <c r="E33" s="6">
        <v>300</v>
      </c>
      <c r="F33" s="6">
        <v>147900</v>
      </c>
      <c r="G33" s="6">
        <v>0</v>
      </c>
      <c r="H33" s="6">
        <v>147900</v>
      </c>
      <c r="I33" s="6">
        <v>123250</v>
      </c>
      <c r="J33" s="6">
        <v>24650</v>
      </c>
      <c r="K33" s="7">
        <v>41284</v>
      </c>
      <c r="L33" s="3" t="s">
        <v>54</v>
      </c>
      <c r="M33" s="4">
        <v>2013</v>
      </c>
    </row>
    <row r="34" spans="1:13" ht="15" thickBot="1" x14ac:dyDescent="0.4">
      <c r="A34" s="3">
        <v>33</v>
      </c>
      <c r="B34" s="3" t="s">
        <v>49</v>
      </c>
      <c r="C34" s="3">
        <v>1391</v>
      </c>
      <c r="D34" s="6">
        <v>5</v>
      </c>
      <c r="E34" s="6">
        <v>300</v>
      </c>
      <c r="F34" s="6">
        <v>417300</v>
      </c>
      <c r="G34" s="6">
        <v>0</v>
      </c>
      <c r="H34" s="6">
        <v>417300</v>
      </c>
      <c r="I34" s="6">
        <v>347750</v>
      </c>
      <c r="J34" s="6">
        <v>69550</v>
      </c>
      <c r="K34" s="7">
        <v>41649</v>
      </c>
      <c r="L34" s="3" t="s">
        <v>54</v>
      </c>
      <c r="M34" s="4">
        <v>2014</v>
      </c>
    </row>
    <row r="35" spans="1:13" ht="28.5" thickBot="1" x14ac:dyDescent="0.4">
      <c r="A35" s="3">
        <v>34</v>
      </c>
      <c r="B35" s="3" t="s">
        <v>49</v>
      </c>
      <c r="C35" s="3">
        <v>1410</v>
      </c>
      <c r="D35" s="6">
        <v>5</v>
      </c>
      <c r="E35" s="6">
        <v>300</v>
      </c>
      <c r="F35" s="6">
        <v>423000</v>
      </c>
      <c r="G35" s="6">
        <v>0</v>
      </c>
      <c r="H35" s="6">
        <v>423000</v>
      </c>
      <c r="I35" s="6">
        <v>352500</v>
      </c>
      <c r="J35" s="6">
        <v>70500</v>
      </c>
      <c r="K35" s="7">
        <v>41286</v>
      </c>
      <c r="L35" s="3" t="s">
        <v>52</v>
      </c>
      <c r="M35" s="4">
        <v>2013</v>
      </c>
    </row>
    <row r="36" spans="1:13" ht="28.5" thickBot="1" x14ac:dyDescent="0.4">
      <c r="A36" s="3">
        <v>35</v>
      </c>
      <c r="B36" s="3" t="s">
        <v>49</v>
      </c>
      <c r="C36" s="3">
        <v>1810</v>
      </c>
      <c r="D36" s="6">
        <v>5</v>
      </c>
      <c r="E36" s="6">
        <v>300</v>
      </c>
      <c r="F36" s="6">
        <v>543000</v>
      </c>
      <c r="G36" s="6">
        <v>0</v>
      </c>
      <c r="H36" s="6">
        <v>543000</v>
      </c>
      <c r="I36" s="6">
        <v>452500</v>
      </c>
      <c r="J36" s="6">
        <v>90500</v>
      </c>
      <c r="K36" s="7">
        <v>41651</v>
      </c>
      <c r="L36" s="3" t="s">
        <v>52</v>
      </c>
      <c r="M36" s="4">
        <v>2014</v>
      </c>
    </row>
    <row r="37" spans="1:13" ht="15" thickBot="1" x14ac:dyDescent="0.4">
      <c r="A37" s="3">
        <v>36</v>
      </c>
      <c r="B37" s="3" t="s">
        <v>49</v>
      </c>
      <c r="C37" s="3">
        <v>1684</v>
      </c>
      <c r="D37" s="6">
        <v>10</v>
      </c>
      <c r="E37" s="6">
        <v>125</v>
      </c>
      <c r="F37" s="6">
        <v>210500</v>
      </c>
      <c r="G37" s="6">
        <v>0</v>
      </c>
      <c r="H37" s="6">
        <v>210500</v>
      </c>
      <c r="I37" s="6">
        <v>202080</v>
      </c>
      <c r="J37" s="6">
        <v>8420</v>
      </c>
      <c r="K37" s="7">
        <v>41643</v>
      </c>
      <c r="L37" s="3" t="s">
        <v>55</v>
      </c>
      <c r="M37" s="4">
        <v>2014</v>
      </c>
    </row>
    <row r="38" spans="1:13" ht="15" thickBot="1" x14ac:dyDescent="0.4">
      <c r="A38" s="3">
        <v>37</v>
      </c>
      <c r="B38" s="3" t="s">
        <v>49</v>
      </c>
      <c r="C38" s="3">
        <v>2401</v>
      </c>
      <c r="D38" s="6">
        <v>10</v>
      </c>
      <c r="E38" s="6">
        <v>125</v>
      </c>
      <c r="F38" s="6">
        <v>300125</v>
      </c>
      <c r="G38" s="6">
        <v>0</v>
      </c>
      <c r="H38" s="6">
        <v>300125</v>
      </c>
      <c r="I38" s="6">
        <v>288120</v>
      </c>
      <c r="J38" s="6">
        <v>12005</v>
      </c>
      <c r="K38" s="7">
        <v>41649</v>
      </c>
      <c r="L38" s="3" t="s">
        <v>54</v>
      </c>
      <c r="M38" s="4">
        <v>2014</v>
      </c>
    </row>
    <row r="39" spans="1:13" ht="28.5" thickBot="1" x14ac:dyDescent="0.4">
      <c r="A39" s="3">
        <v>38</v>
      </c>
      <c r="B39" s="3" t="s">
        <v>49</v>
      </c>
      <c r="C39" s="3">
        <v>1345</v>
      </c>
      <c r="D39" s="6">
        <v>10</v>
      </c>
      <c r="E39" s="6">
        <v>125</v>
      </c>
      <c r="F39" s="6">
        <v>168125</v>
      </c>
      <c r="G39" s="6">
        <v>0</v>
      </c>
      <c r="H39" s="6">
        <v>168125</v>
      </c>
      <c r="I39" s="6">
        <v>161400</v>
      </c>
      <c r="J39" s="6">
        <v>6725</v>
      </c>
      <c r="K39" s="7">
        <v>41650</v>
      </c>
      <c r="L39" s="3" t="s">
        <v>58</v>
      </c>
      <c r="M39" s="4">
        <v>2014</v>
      </c>
    </row>
    <row r="40" spans="1:13" ht="28.5" thickBot="1" x14ac:dyDescent="0.4">
      <c r="A40" s="3">
        <v>39</v>
      </c>
      <c r="B40" s="3" t="s">
        <v>49</v>
      </c>
      <c r="C40" s="3">
        <v>2355</v>
      </c>
      <c r="D40" s="6">
        <v>10</v>
      </c>
      <c r="E40" s="6">
        <v>125</v>
      </c>
      <c r="F40" s="6">
        <v>294375</v>
      </c>
      <c r="G40" s="6">
        <v>0</v>
      </c>
      <c r="H40" s="6">
        <v>294375</v>
      </c>
      <c r="I40" s="6">
        <v>282600</v>
      </c>
      <c r="J40" s="6">
        <v>11775</v>
      </c>
      <c r="K40" s="7">
        <v>41285</v>
      </c>
      <c r="L40" s="3" t="s">
        <v>58</v>
      </c>
      <c r="M40" s="4">
        <v>2013</v>
      </c>
    </row>
    <row r="41" spans="1:13" ht="28.5" thickBot="1" x14ac:dyDescent="0.4">
      <c r="A41" s="3">
        <v>40</v>
      </c>
      <c r="B41" s="3" t="s">
        <v>49</v>
      </c>
      <c r="C41" s="3">
        <v>1415</v>
      </c>
      <c r="D41" s="6">
        <v>10</v>
      </c>
      <c r="E41" s="6">
        <v>125</v>
      </c>
      <c r="F41" s="6">
        <v>176875</v>
      </c>
      <c r="G41" s="6">
        <v>0</v>
      </c>
      <c r="H41" s="6">
        <v>176875</v>
      </c>
      <c r="I41" s="6">
        <v>169800</v>
      </c>
      <c r="J41" s="6">
        <v>7075</v>
      </c>
      <c r="K41" s="7">
        <v>41651</v>
      </c>
      <c r="L41" s="3" t="s">
        <v>52</v>
      </c>
      <c r="M41" s="4">
        <v>2014</v>
      </c>
    </row>
    <row r="42" spans="1:13" ht="15" thickBot="1" x14ac:dyDescent="0.4">
      <c r="A42" s="3">
        <v>41</v>
      </c>
      <c r="B42" s="3" t="s">
        <v>49</v>
      </c>
      <c r="C42" s="3">
        <v>1812</v>
      </c>
      <c r="D42" s="6">
        <v>10</v>
      </c>
      <c r="E42" s="6">
        <v>20</v>
      </c>
      <c r="F42" s="6">
        <v>36240</v>
      </c>
      <c r="G42" s="6">
        <v>0</v>
      </c>
      <c r="H42" s="6">
        <v>36240</v>
      </c>
      <c r="I42" s="6">
        <v>18120</v>
      </c>
      <c r="J42" s="6">
        <v>18120</v>
      </c>
      <c r="K42" s="7">
        <v>41649</v>
      </c>
      <c r="L42" s="3" t="s">
        <v>54</v>
      </c>
      <c r="M42" s="4">
        <v>2014</v>
      </c>
    </row>
    <row r="43" spans="1:13" ht="28.5" thickBot="1" x14ac:dyDescent="0.4">
      <c r="A43" s="3">
        <v>42</v>
      </c>
      <c r="B43" s="3" t="s">
        <v>49</v>
      </c>
      <c r="C43" s="3">
        <v>2151</v>
      </c>
      <c r="D43" s="6">
        <v>10</v>
      </c>
      <c r="E43" s="6">
        <v>20</v>
      </c>
      <c r="F43" s="6">
        <v>43020</v>
      </c>
      <c r="G43" s="6">
        <v>0</v>
      </c>
      <c r="H43" s="6">
        <v>43020</v>
      </c>
      <c r="I43" s="6">
        <v>21510</v>
      </c>
      <c r="J43" s="6">
        <v>21510</v>
      </c>
      <c r="K43" s="7">
        <v>41286</v>
      </c>
      <c r="L43" s="3" t="s">
        <v>52</v>
      </c>
      <c r="M43" s="4">
        <v>2013</v>
      </c>
    </row>
    <row r="44" spans="1:13" ht="28.5" thickBot="1" x14ac:dyDescent="0.4">
      <c r="A44" s="3">
        <v>43</v>
      </c>
      <c r="B44" s="3" t="s">
        <v>49</v>
      </c>
      <c r="C44" s="3">
        <v>260</v>
      </c>
      <c r="D44" s="6">
        <v>10</v>
      </c>
      <c r="E44" s="6">
        <v>20</v>
      </c>
      <c r="F44" s="6">
        <v>5200</v>
      </c>
      <c r="G44" s="6">
        <v>0</v>
      </c>
      <c r="H44" s="6">
        <v>5200</v>
      </c>
      <c r="I44" s="6">
        <v>2600</v>
      </c>
      <c r="J44" s="6">
        <v>2600</v>
      </c>
      <c r="K44" s="7">
        <v>41651</v>
      </c>
      <c r="L44" s="3" t="s">
        <v>52</v>
      </c>
      <c r="M44" s="4">
        <v>2014</v>
      </c>
    </row>
    <row r="45" spans="1:13" ht="15" thickBot="1" x14ac:dyDescent="0.4">
      <c r="A45" s="3">
        <v>44</v>
      </c>
      <c r="B45" s="3" t="s">
        <v>49</v>
      </c>
      <c r="C45" s="3">
        <v>1414</v>
      </c>
      <c r="D45" s="6">
        <v>120</v>
      </c>
      <c r="E45" s="6">
        <v>125</v>
      </c>
      <c r="F45" s="6">
        <v>176750</v>
      </c>
      <c r="G45" s="6">
        <v>0</v>
      </c>
      <c r="H45" s="6">
        <v>176750</v>
      </c>
      <c r="I45" s="6">
        <v>169680</v>
      </c>
      <c r="J45" s="6">
        <v>7070</v>
      </c>
      <c r="K45" s="7">
        <v>41640</v>
      </c>
      <c r="L45" s="3" t="s">
        <v>50</v>
      </c>
      <c r="M45" s="4">
        <v>2014</v>
      </c>
    </row>
    <row r="46" spans="1:13" ht="15" thickBot="1" x14ac:dyDescent="0.4">
      <c r="A46" s="3">
        <v>45</v>
      </c>
      <c r="B46" s="3" t="s">
        <v>49</v>
      </c>
      <c r="C46" s="3">
        <v>2146</v>
      </c>
      <c r="D46" s="6">
        <v>120</v>
      </c>
      <c r="E46" s="6">
        <v>125</v>
      </c>
      <c r="F46" s="6">
        <v>268250</v>
      </c>
      <c r="G46" s="6">
        <v>0</v>
      </c>
      <c r="H46" s="6">
        <v>268250</v>
      </c>
      <c r="I46" s="6">
        <v>257520</v>
      </c>
      <c r="J46" s="6">
        <v>10730</v>
      </c>
      <c r="K46" s="7">
        <v>41642</v>
      </c>
      <c r="L46" s="3" t="s">
        <v>53</v>
      </c>
      <c r="M46" s="4">
        <v>2014</v>
      </c>
    </row>
    <row r="47" spans="1:13" ht="15" thickBot="1" x14ac:dyDescent="0.4">
      <c r="A47" s="3">
        <v>46</v>
      </c>
      <c r="B47" s="3" t="s">
        <v>49</v>
      </c>
      <c r="C47" s="3">
        <v>345</v>
      </c>
      <c r="D47" s="6">
        <v>120</v>
      </c>
      <c r="E47" s="6">
        <v>125</v>
      </c>
      <c r="F47" s="6">
        <v>43125</v>
      </c>
      <c r="G47" s="6">
        <v>0</v>
      </c>
      <c r="H47" s="6">
        <v>43125</v>
      </c>
      <c r="I47" s="6">
        <v>41400</v>
      </c>
      <c r="J47" s="6">
        <v>1725</v>
      </c>
      <c r="K47" s="7">
        <v>41284</v>
      </c>
      <c r="L47" s="3" t="s">
        <v>54</v>
      </c>
      <c r="M47" s="4">
        <v>2013</v>
      </c>
    </row>
    <row r="48" spans="1:13" ht="28.5" thickBot="1" x14ac:dyDescent="0.4">
      <c r="A48" s="3">
        <v>47</v>
      </c>
      <c r="B48" s="3" t="s">
        <v>49</v>
      </c>
      <c r="C48" s="3">
        <v>1325</v>
      </c>
      <c r="D48" s="6">
        <v>120</v>
      </c>
      <c r="E48" s="6">
        <v>7</v>
      </c>
      <c r="F48" s="6">
        <v>9275</v>
      </c>
      <c r="G48" s="6">
        <v>0</v>
      </c>
      <c r="H48" s="6">
        <v>9275</v>
      </c>
      <c r="I48" s="6">
        <v>6625</v>
      </c>
      <c r="J48" s="6">
        <v>2650</v>
      </c>
      <c r="K48" s="7">
        <v>41285</v>
      </c>
      <c r="L48" s="3" t="s">
        <v>58</v>
      </c>
      <c r="M48" s="4">
        <v>2013</v>
      </c>
    </row>
    <row r="49" spans="1:13" ht="28.5" thickBot="1" x14ac:dyDescent="0.4">
      <c r="A49" s="3">
        <v>48</v>
      </c>
      <c r="B49" s="3" t="s">
        <v>49</v>
      </c>
      <c r="C49" s="3">
        <v>2152</v>
      </c>
      <c r="D49" s="6">
        <v>120</v>
      </c>
      <c r="E49" s="6">
        <v>7</v>
      </c>
      <c r="F49" s="6">
        <v>15064</v>
      </c>
      <c r="G49" s="6">
        <v>0</v>
      </c>
      <c r="H49" s="6">
        <v>15064</v>
      </c>
      <c r="I49" s="6">
        <v>10760</v>
      </c>
      <c r="J49" s="6">
        <v>4304</v>
      </c>
      <c r="K49" s="7">
        <v>41651</v>
      </c>
      <c r="L49" s="3" t="s">
        <v>52</v>
      </c>
      <c r="M49" s="4">
        <v>2014</v>
      </c>
    </row>
    <row r="50" spans="1:13" ht="28.5" thickBot="1" x14ac:dyDescent="0.4">
      <c r="A50" s="3">
        <v>49</v>
      </c>
      <c r="B50" s="3" t="s">
        <v>49</v>
      </c>
      <c r="C50" s="3">
        <v>1515</v>
      </c>
      <c r="D50" s="6">
        <v>250</v>
      </c>
      <c r="E50" s="6">
        <v>7</v>
      </c>
      <c r="F50" s="6">
        <v>10605</v>
      </c>
      <c r="G50" s="6">
        <v>0</v>
      </c>
      <c r="H50" s="6">
        <v>10605</v>
      </c>
      <c r="I50" s="6">
        <v>7575</v>
      </c>
      <c r="J50" s="6">
        <v>3030</v>
      </c>
      <c r="K50" s="7">
        <v>41651</v>
      </c>
      <c r="L50" s="3" t="s">
        <v>52</v>
      </c>
      <c r="M50" s="4">
        <v>2014</v>
      </c>
    </row>
    <row r="51" spans="1:13" ht="28.5" thickBot="1" x14ac:dyDescent="0.4">
      <c r="A51" s="3">
        <v>50</v>
      </c>
      <c r="B51" s="3" t="s">
        <v>49</v>
      </c>
      <c r="C51" s="3">
        <v>1818</v>
      </c>
      <c r="D51" s="6">
        <v>250</v>
      </c>
      <c r="E51" s="6">
        <v>350</v>
      </c>
      <c r="F51" s="6">
        <v>636300</v>
      </c>
      <c r="G51" s="6">
        <v>0</v>
      </c>
      <c r="H51" s="6">
        <v>636300</v>
      </c>
      <c r="I51" s="6">
        <v>472680</v>
      </c>
      <c r="J51" s="6">
        <v>163620</v>
      </c>
      <c r="K51" s="7">
        <v>41651</v>
      </c>
      <c r="L51" s="3" t="s">
        <v>52</v>
      </c>
      <c r="M51" s="4">
        <v>2014</v>
      </c>
    </row>
    <row r="52" spans="1:13" ht="15" thickBot="1" x14ac:dyDescent="0.4">
      <c r="A52" s="3">
        <v>51</v>
      </c>
      <c r="B52" s="3" t="s">
        <v>49</v>
      </c>
      <c r="C52" s="3">
        <v>2154</v>
      </c>
      <c r="D52" s="6">
        <v>250</v>
      </c>
      <c r="E52" s="6">
        <v>350</v>
      </c>
      <c r="F52" s="6">
        <v>753900</v>
      </c>
      <c r="G52" s="6">
        <v>0</v>
      </c>
      <c r="H52" s="6">
        <v>753900</v>
      </c>
      <c r="I52" s="6">
        <v>560040</v>
      </c>
      <c r="J52" s="6">
        <v>193860</v>
      </c>
      <c r="K52" s="7">
        <v>41640</v>
      </c>
      <c r="L52" s="3" t="s">
        <v>50</v>
      </c>
      <c r="M52" s="4">
        <v>2014</v>
      </c>
    </row>
    <row r="53" spans="1:13" ht="15" thickBot="1" x14ac:dyDescent="0.4">
      <c r="A53" s="3">
        <v>52</v>
      </c>
      <c r="B53" s="3" t="s">
        <v>49</v>
      </c>
      <c r="C53" s="3">
        <v>200</v>
      </c>
      <c r="D53" s="6">
        <v>250</v>
      </c>
      <c r="E53" s="6">
        <v>350</v>
      </c>
      <c r="F53" s="6">
        <v>70000</v>
      </c>
      <c r="G53" s="6">
        <v>0</v>
      </c>
      <c r="H53" s="6">
        <v>70000</v>
      </c>
      <c r="I53" s="6">
        <v>52000</v>
      </c>
      <c r="J53" s="6">
        <v>18000</v>
      </c>
      <c r="K53" s="7">
        <v>41641</v>
      </c>
      <c r="L53" s="3" t="s">
        <v>59</v>
      </c>
      <c r="M53" s="4">
        <v>2014</v>
      </c>
    </row>
    <row r="54" spans="1:13" ht="15" thickBot="1" x14ac:dyDescent="0.4">
      <c r="A54" s="3">
        <v>53</v>
      </c>
      <c r="B54" s="3" t="s">
        <v>49</v>
      </c>
      <c r="C54" s="3">
        <v>2145</v>
      </c>
      <c r="D54" s="6">
        <v>250</v>
      </c>
      <c r="E54" s="6">
        <v>350</v>
      </c>
      <c r="F54" s="6">
        <v>750750</v>
      </c>
      <c r="G54" s="6">
        <v>0</v>
      </c>
      <c r="H54" s="6">
        <v>750750</v>
      </c>
      <c r="I54" s="6">
        <v>557700</v>
      </c>
      <c r="J54" s="6">
        <v>193050</v>
      </c>
      <c r="K54" s="7">
        <v>41642</v>
      </c>
      <c r="L54" s="3" t="s">
        <v>53</v>
      </c>
      <c r="M54" s="4">
        <v>2014</v>
      </c>
    </row>
    <row r="55" spans="1:13" ht="15" thickBot="1" x14ac:dyDescent="0.4">
      <c r="A55" s="3">
        <v>54</v>
      </c>
      <c r="B55" s="3" t="s">
        <v>49</v>
      </c>
      <c r="C55" s="3">
        <v>1810</v>
      </c>
      <c r="D55" s="6">
        <v>250</v>
      </c>
      <c r="E55" s="6">
        <v>350</v>
      </c>
      <c r="F55" s="6">
        <v>633500</v>
      </c>
      <c r="G55" s="6">
        <v>0</v>
      </c>
      <c r="H55" s="6">
        <v>633500</v>
      </c>
      <c r="I55" s="6">
        <v>470600</v>
      </c>
      <c r="J55" s="6">
        <v>162900</v>
      </c>
      <c r="K55" s="7">
        <v>41643</v>
      </c>
      <c r="L55" s="3" t="s">
        <v>55</v>
      </c>
      <c r="M55" s="4">
        <v>2014</v>
      </c>
    </row>
    <row r="56" spans="1:13" ht="15" thickBot="1" x14ac:dyDescent="0.4">
      <c r="A56" s="3">
        <v>55</v>
      </c>
      <c r="B56" s="3" t="s">
        <v>49</v>
      </c>
      <c r="C56" s="3">
        <v>345</v>
      </c>
      <c r="D56" s="6">
        <v>250</v>
      </c>
      <c r="E56" s="6">
        <v>350</v>
      </c>
      <c r="F56" s="6">
        <v>120750</v>
      </c>
      <c r="G56" s="6">
        <v>0</v>
      </c>
      <c r="H56" s="6">
        <v>120750</v>
      </c>
      <c r="I56" s="6">
        <v>89700</v>
      </c>
      <c r="J56" s="6">
        <v>31050</v>
      </c>
      <c r="K56" s="7">
        <v>41644</v>
      </c>
      <c r="L56" s="3" t="s">
        <v>60</v>
      </c>
      <c r="M56" s="4">
        <v>2014</v>
      </c>
    </row>
    <row r="57" spans="1:13" ht="15" thickBot="1" x14ac:dyDescent="0.4">
      <c r="A57" s="3">
        <v>56</v>
      </c>
      <c r="B57" s="3" t="s">
        <v>49</v>
      </c>
      <c r="C57" s="3">
        <v>1555</v>
      </c>
      <c r="D57" s="6">
        <v>250</v>
      </c>
      <c r="E57" s="6">
        <v>350</v>
      </c>
      <c r="F57" s="6">
        <v>544250</v>
      </c>
      <c r="G57" s="6">
        <v>0</v>
      </c>
      <c r="H57" s="6">
        <v>544250</v>
      </c>
      <c r="I57" s="6">
        <v>404300</v>
      </c>
      <c r="J57" s="6">
        <v>139950</v>
      </c>
      <c r="K57" s="7">
        <v>41645</v>
      </c>
      <c r="L57" s="3" t="s">
        <v>51</v>
      </c>
      <c r="M57" s="4">
        <v>2014</v>
      </c>
    </row>
    <row r="58" spans="1:13" ht="15" thickBot="1" x14ac:dyDescent="0.4">
      <c r="A58" s="3">
        <v>57</v>
      </c>
      <c r="B58" s="3" t="s">
        <v>49</v>
      </c>
      <c r="C58" s="3">
        <v>2801</v>
      </c>
      <c r="D58" s="6">
        <v>250</v>
      </c>
      <c r="E58" s="6">
        <v>350</v>
      </c>
      <c r="F58" s="6">
        <v>980350</v>
      </c>
      <c r="G58" s="6">
        <v>0</v>
      </c>
      <c r="H58" s="6">
        <v>980350</v>
      </c>
      <c r="I58" s="6">
        <v>728260</v>
      </c>
      <c r="J58" s="6">
        <v>252090</v>
      </c>
      <c r="K58" s="7">
        <v>41647</v>
      </c>
      <c r="L58" s="3" t="s">
        <v>61</v>
      </c>
      <c r="M58" s="4">
        <v>2014</v>
      </c>
    </row>
    <row r="59" spans="1:13" ht="28.5" thickBot="1" x14ac:dyDescent="0.4">
      <c r="A59" s="3">
        <v>58</v>
      </c>
      <c r="B59" s="3" t="s">
        <v>49</v>
      </c>
      <c r="C59" s="3">
        <v>1500</v>
      </c>
      <c r="D59" s="6">
        <v>250</v>
      </c>
      <c r="E59" s="6">
        <v>15</v>
      </c>
      <c r="F59" s="6">
        <v>22500</v>
      </c>
      <c r="G59" s="6">
        <v>0</v>
      </c>
      <c r="H59" s="6">
        <v>22500</v>
      </c>
      <c r="I59" s="6">
        <v>15000</v>
      </c>
      <c r="J59" s="6">
        <v>7500</v>
      </c>
      <c r="K59" s="7">
        <v>41648</v>
      </c>
      <c r="L59" s="3" t="s">
        <v>57</v>
      </c>
      <c r="M59" s="4">
        <v>2014</v>
      </c>
    </row>
    <row r="60" spans="1:13" ht="15" thickBot="1" x14ac:dyDescent="0.4">
      <c r="A60" s="3">
        <v>59</v>
      </c>
      <c r="B60" s="3" t="s">
        <v>49</v>
      </c>
      <c r="C60" s="3">
        <v>2100</v>
      </c>
      <c r="D60" s="6">
        <v>260</v>
      </c>
      <c r="E60" s="6">
        <v>15</v>
      </c>
      <c r="F60" s="6">
        <v>31500</v>
      </c>
      <c r="G60" s="6">
        <v>0</v>
      </c>
      <c r="H60" s="6">
        <v>31500</v>
      </c>
      <c r="I60" s="6">
        <v>21000</v>
      </c>
      <c r="J60" s="6">
        <v>10500</v>
      </c>
      <c r="K60" s="7">
        <v>41649</v>
      </c>
      <c r="L60" s="3" t="s">
        <v>54</v>
      </c>
      <c r="M60" s="4">
        <v>2014</v>
      </c>
    </row>
    <row r="61" spans="1:13" ht="28.5" thickBot="1" x14ac:dyDescent="0.4">
      <c r="A61" s="3">
        <v>60</v>
      </c>
      <c r="B61" s="3" t="s">
        <v>49</v>
      </c>
      <c r="C61" s="3">
        <v>1200</v>
      </c>
      <c r="D61" s="6">
        <v>260</v>
      </c>
      <c r="E61" s="6">
        <v>15</v>
      </c>
      <c r="F61" s="6">
        <v>18000</v>
      </c>
      <c r="G61" s="6">
        <v>0</v>
      </c>
      <c r="H61" s="6">
        <v>18000</v>
      </c>
      <c r="I61" s="6">
        <v>12000</v>
      </c>
      <c r="J61" s="6">
        <v>6000</v>
      </c>
      <c r="K61" s="7">
        <v>41650</v>
      </c>
      <c r="L61" s="3" t="s">
        <v>58</v>
      </c>
      <c r="M61" s="4">
        <v>2014</v>
      </c>
    </row>
    <row r="62" spans="1:13" ht="28.5" thickBot="1" x14ac:dyDescent="0.4">
      <c r="A62" s="3">
        <v>61</v>
      </c>
      <c r="B62" s="3" t="s">
        <v>49</v>
      </c>
      <c r="C62" s="3">
        <v>500</v>
      </c>
      <c r="D62" s="6">
        <v>260</v>
      </c>
      <c r="E62" s="6">
        <v>15</v>
      </c>
      <c r="F62" s="6">
        <v>7500</v>
      </c>
      <c r="G62" s="6">
        <v>0</v>
      </c>
      <c r="H62" s="6">
        <v>7500</v>
      </c>
      <c r="I62" s="6">
        <v>5000</v>
      </c>
      <c r="J62" s="6">
        <v>2500</v>
      </c>
      <c r="K62" s="7">
        <v>41651</v>
      </c>
      <c r="L62" s="3" t="s">
        <v>52</v>
      </c>
      <c r="M62" s="4">
        <v>2014</v>
      </c>
    </row>
    <row r="63" spans="1:13" ht="15" thickBot="1" x14ac:dyDescent="0.4">
      <c r="A63" s="3">
        <v>62</v>
      </c>
      <c r="B63" s="3" t="s">
        <v>49</v>
      </c>
      <c r="C63" s="3">
        <v>2400</v>
      </c>
      <c r="D63" s="6">
        <v>5</v>
      </c>
      <c r="E63" s="6">
        <v>12</v>
      </c>
      <c r="F63" s="6">
        <v>28800</v>
      </c>
      <c r="G63" s="6">
        <v>0</v>
      </c>
      <c r="H63" s="6">
        <v>28800</v>
      </c>
      <c r="I63" s="6">
        <v>14400</v>
      </c>
      <c r="J63" s="6">
        <v>14400</v>
      </c>
      <c r="K63" s="7">
        <v>41640</v>
      </c>
      <c r="L63" s="3" t="s">
        <v>50</v>
      </c>
      <c r="M63" s="4">
        <v>2014</v>
      </c>
    </row>
    <row r="64" spans="1:13" ht="15" thickBot="1" x14ac:dyDescent="0.4">
      <c r="A64" s="3">
        <v>63</v>
      </c>
      <c r="B64" s="3" t="s">
        <v>49</v>
      </c>
      <c r="C64" s="3">
        <v>1800</v>
      </c>
      <c r="D64" s="6">
        <v>5</v>
      </c>
      <c r="E64" s="6">
        <v>12</v>
      </c>
      <c r="F64" s="6">
        <v>21600</v>
      </c>
      <c r="G64" s="6">
        <v>0</v>
      </c>
      <c r="H64" s="6">
        <v>21600</v>
      </c>
      <c r="I64" s="6">
        <v>10800</v>
      </c>
      <c r="J64" s="6">
        <v>10800</v>
      </c>
      <c r="K64" s="7">
        <v>41641</v>
      </c>
      <c r="L64" s="3" t="s">
        <v>59</v>
      </c>
      <c r="M64" s="4">
        <v>2014</v>
      </c>
    </row>
    <row r="65" spans="1:13" ht="15" thickBot="1" x14ac:dyDescent="0.4">
      <c r="A65" s="3">
        <v>64</v>
      </c>
      <c r="B65" s="3" t="s">
        <v>49</v>
      </c>
      <c r="C65" s="3">
        <v>1300</v>
      </c>
      <c r="D65" s="6">
        <v>5</v>
      </c>
      <c r="E65" s="6">
        <v>12</v>
      </c>
      <c r="F65" s="6">
        <v>15600</v>
      </c>
      <c r="G65" s="6">
        <v>0</v>
      </c>
      <c r="H65" s="6">
        <v>15600</v>
      </c>
      <c r="I65" s="6">
        <v>7800</v>
      </c>
      <c r="J65" s="6">
        <v>7800</v>
      </c>
      <c r="K65" s="7">
        <v>41642</v>
      </c>
      <c r="L65" s="3" t="s">
        <v>53</v>
      </c>
      <c r="M65" s="4">
        <v>2014</v>
      </c>
    </row>
    <row r="66" spans="1:13" ht="15" thickBot="1" x14ac:dyDescent="0.4">
      <c r="A66" s="3">
        <v>65</v>
      </c>
      <c r="B66" s="3" t="s">
        <v>49</v>
      </c>
      <c r="C66" s="3">
        <v>900</v>
      </c>
      <c r="D66" s="6">
        <v>5</v>
      </c>
      <c r="E66" s="6">
        <v>12</v>
      </c>
      <c r="F66" s="6">
        <v>10800</v>
      </c>
      <c r="G66" s="6">
        <v>0</v>
      </c>
      <c r="H66" s="6">
        <v>10800</v>
      </c>
      <c r="I66" s="6">
        <v>5400</v>
      </c>
      <c r="J66" s="6">
        <v>5400</v>
      </c>
      <c r="K66" s="7">
        <v>41643</v>
      </c>
      <c r="L66" s="3" t="s">
        <v>55</v>
      </c>
      <c r="M66" s="4">
        <v>2014</v>
      </c>
    </row>
    <row r="67" spans="1:13" ht="15" thickBot="1" x14ac:dyDescent="0.4">
      <c r="A67" s="3">
        <v>66</v>
      </c>
      <c r="B67" s="3" t="s">
        <v>49</v>
      </c>
      <c r="C67" s="3">
        <v>1100</v>
      </c>
      <c r="D67" s="6">
        <v>5</v>
      </c>
      <c r="E67" s="6">
        <v>12</v>
      </c>
      <c r="F67" s="6">
        <v>13200</v>
      </c>
      <c r="G67" s="6">
        <v>0</v>
      </c>
      <c r="H67" s="6">
        <v>13200</v>
      </c>
      <c r="I67" s="6">
        <v>6600</v>
      </c>
      <c r="J67" s="6">
        <v>6600</v>
      </c>
      <c r="K67" s="7">
        <v>41644</v>
      </c>
      <c r="L67" s="3" t="s">
        <v>60</v>
      </c>
      <c r="M67" s="4">
        <v>2014</v>
      </c>
    </row>
    <row r="68" spans="1:13" ht="15" thickBot="1" x14ac:dyDescent="0.4">
      <c r="A68" s="3">
        <v>67</v>
      </c>
      <c r="B68" s="3" t="s">
        <v>49</v>
      </c>
      <c r="C68" s="3">
        <v>2200</v>
      </c>
      <c r="D68" s="6">
        <v>5</v>
      </c>
      <c r="E68" s="6">
        <v>12</v>
      </c>
      <c r="F68" s="6">
        <v>26400</v>
      </c>
      <c r="G68" s="6">
        <v>0</v>
      </c>
      <c r="H68" s="6">
        <v>26400</v>
      </c>
      <c r="I68" s="6">
        <v>13200</v>
      </c>
      <c r="J68" s="6">
        <v>13200</v>
      </c>
      <c r="K68" s="7">
        <v>41645</v>
      </c>
      <c r="L68" s="3" t="s">
        <v>51</v>
      </c>
      <c r="M68" s="4">
        <v>2014</v>
      </c>
    </row>
    <row r="69" spans="1:13" ht="15" thickBot="1" x14ac:dyDescent="0.4">
      <c r="A69" s="3">
        <v>68</v>
      </c>
      <c r="B69" s="3" t="s">
        <v>49</v>
      </c>
      <c r="C69" s="3">
        <v>1500</v>
      </c>
      <c r="D69" s="6">
        <v>5</v>
      </c>
      <c r="E69" s="6">
        <v>12</v>
      </c>
      <c r="F69" s="6">
        <v>18000</v>
      </c>
      <c r="G69" s="6">
        <v>0</v>
      </c>
      <c r="H69" s="6">
        <v>18000</v>
      </c>
      <c r="I69" s="6">
        <v>9000</v>
      </c>
      <c r="J69" s="6">
        <v>9000</v>
      </c>
      <c r="K69" s="7">
        <v>41646</v>
      </c>
      <c r="L69" s="3" t="s">
        <v>56</v>
      </c>
      <c r="M69" s="4">
        <v>2014</v>
      </c>
    </row>
    <row r="70" spans="1:13" ht="15" thickBot="1" x14ac:dyDescent="0.4">
      <c r="A70" s="3">
        <v>69</v>
      </c>
      <c r="B70" s="3" t="s">
        <v>49</v>
      </c>
      <c r="C70" s="3">
        <v>2700</v>
      </c>
      <c r="D70" s="6">
        <v>5</v>
      </c>
      <c r="E70" s="6">
        <v>12</v>
      </c>
      <c r="F70" s="6">
        <v>32400</v>
      </c>
      <c r="G70" s="6">
        <v>0</v>
      </c>
      <c r="H70" s="6">
        <v>32400</v>
      </c>
      <c r="I70" s="6">
        <v>16200</v>
      </c>
      <c r="J70" s="6">
        <v>16200</v>
      </c>
      <c r="K70" s="7">
        <v>41647</v>
      </c>
      <c r="L70" s="3" t="s">
        <v>61</v>
      </c>
      <c r="M70" s="4">
        <v>2014</v>
      </c>
    </row>
    <row r="71" spans="1:13" ht="28.5" thickBot="1" x14ac:dyDescent="0.4">
      <c r="A71" s="3">
        <v>70</v>
      </c>
      <c r="B71" s="3" t="s">
        <v>49</v>
      </c>
      <c r="C71" s="3">
        <v>1400</v>
      </c>
      <c r="D71" s="6">
        <v>5</v>
      </c>
      <c r="E71" s="6">
        <v>12</v>
      </c>
      <c r="F71" s="6">
        <v>16800</v>
      </c>
      <c r="G71" s="6">
        <v>0</v>
      </c>
      <c r="H71" s="6">
        <v>16800</v>
      </c>
      <c r="I71" s="6">
        <v>8400</v>
      </c>
      <c r="J71" s="6">
        <v>8400</v>
      </c>
      <c r="K71" s="7">
        <v>41648</v>
      </c>
      <c r="L71" s="3" t="s">
        <v>57</v>
      </c>
      <c r="M71" s="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Jamamim</dc:creator>
  <cp:lastModifiedBy>Tuan Jamamim</cp:lastModifiedBy>
  <dcterms:created xsi:type="dcterms:W3CDTF">2026-03-30T08:39:59Z</dcterms:created>
  <dcterms:modified xsi:type="dcterms:W3CDTF">2026-05-13T07:22:03Z</dcterms:modified>
</cp:coreProperties>
</file>