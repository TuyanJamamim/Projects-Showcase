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uan jamamim\Downloads\Excel Projects\"/>
    </mc:Choice>
  </mc:AlternateContent>
  <xr:revisionPtr revIDLastSave="0" documentId="13_ncr:1_{D80A948B-7648-4779-A8B1-EE3D9546FC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mes Data Table" sheetId="1" r:id="rId1"/>
    <sheet name="Games Data Table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M10" i="1"/>
  <c r="O10" i="1" s="1"/>
  <c r="O10" i="3"/>
  <c r="O9" i="3"/>
  <c r="P9" i="3" s="1"/>
  <c r="O8" i="3"/>
  <c r="P8" i="3" s="1"/>
  <c r="O7" i="3"/>
  <c r="P7" i="3" s="1"/>
  <c r="O6" i="3"/>
  <c r="P6" i="3" s="1"/>
  <c r="O5" i="3"/>
  <c r="P5" i="3" s="1"/>
  <c r="P4" i="3"/>
  <c r="O4" i="3"/>
  <c r="O3" i="3"/>
  <c r="P3" i="3" s="1"/>
  <c r="O2" i="3"/>
  <c r="P2" i="3" s="1"/>
  <c r="O5" i="1"/>
  <c r="P5" i="1" s="1"/>
  <c r="O6" i="1"/>
  <c r="P6" i="1" s="1"/>
  <c r="O7" i="1"/>
  <c r="P7" i="1" s="1"/>
  <c r="O8" i="1"/>
  <c r="P8" i="1" s="1"/>
  <c r="O9" i="1"/>
  <c r="P9" i="1" s="1"/>
  <c r="O3" i="1"/>
  <c r="P3" i="1" s="1"/>
  <c r="O4" i="1"/>
  <c r="P4" i="1" s="1"/>
  <c r="O2" i="1"/>
  <c r="P2" i="1" s="1"/>
  <c r="P10" i="3" l="1"/>
  <c r="P10" i="1"/>
</calcChain>
</file>

<file path=xl/sharedStrings.xml><?xml version="1.0" encoding="utf-8"?>
<sst xmlns="http://schemas.openxmlformats.org/spreadsheetml/2006/main" count="50" uniqueCount="25">
  <si>
    <t>Product Name</t>
  </si>
  <si>
    <t>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</si>
  <si>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</si>
  <si>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</si>
  <si>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</si>
  <si>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</si>
  <si>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</si>
  <si>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</si>
  <si>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</si>
  <si>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</si>
  <si>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</si>
  <si>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</si>
  <si>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</si>
  <si>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</si>
  <si>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Yearly Total</t>
  </si>
  <si>
    <t>Boggle</t>
  </si>
  <si>
    <t>Codenames</t>
  </si>
  <si>
    <t>Exploding Kittens</t>
  </si>
  <si>
    <t>Mad Gab</t>
  </si>
  <si>
    <t>Skipbo</t>
  </si>
  <si>
    <t>Telestrations</t>
  </si>
  <si>
    <t>Ticket to Ride</t>
  </si>
  <si>
    <t>Wackee Six</t>
  </si>
  <si>
    <t>Total Sold</t>
  </si>
  <si>
    <t>Yearly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</si>
</sst>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"/>
  <sheetViews>
    <sheetView tabSelected="1" zoomScale="90" zoomScaleNormal="90" workbookViewId="0">
      <selection activeCell="H11" sqref="H11"/>
    </sheetView>
  </sheetViews>
  <sheetFormatPr defaultColWidth="12.6328125" defaultRowHeight="15.75" customHeight="1" x14ac:dyDescent="0.25"/>
  <cols>
    <col min="1" max="1" width="14.54296875" bestFit="1" customWidth="1"/>
    <col min="2" max="2" width="12.6328125" customWidth="1"/>
    <col min="15" max="15" width="18.26953125" bestFit="1" customWidth="1"/>
  </cols>
  <sheetData>
    <row r="1" spans="1:16" s="6" customFormat="1" ht="15.7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24</v>
      </c>
      <c r="P1" s="5" t="s">
        <v>14</v>
      </c>
    </row>
    <row r="2" spans="1:16" ht="15.75" customHeight="1" x14ac:dyDescent="0.25">
      <c r="A2" s="1" t="s">
        <v>15</v>
      </c>
      <c r="B2" s="2">
        <v>15</v>
      </c>
      <c r="C2" s="1">
        <v>11</v>
      </c>
      <c r="D2" s="1">
        <v>25</v>
      </c>
      <c r="E2" s="1">
        <v>17</v>
      </c>
      <c r="F2" s="1">
        <v>12</v>
      </c>
      <c r="G2" s="1">
        <v>5</v>
      </c>
      <c r="H2" s="1">
        <v>24</v>
      </c>
      <c r="I2" s="1">
        <v>4</v>
      </c>
      <c r="J2" s="1">
        <v>3</v>
      </c>
      <c r="K2" s="1">
        <v>29</v>
      </c>
      <c r="L2" s="1">
        <v>100</v>
      </c>
      <c r="M2" s="1">
        <v>100</v>
      </c>
      <c r="N2" s="1">
        <v>89</v>
      </c>
      <c r="O2" s="1">
        <f>SUM(C2:N2)</f>
        <v>419</v>
      </c>
      <c r="P2" s="2">
        <f>O2*B2</f>
        <v>6285</v>
      </c>
    </row>
    <row r="3" spans="1:16" ht="15.75" customHeight="1" x14ac:dyDescent="0.25">
      <c r="A3" s="1" t="s">
        <v>16</v>
      </c>
      <c r="B3" s="2">
        <v>29</v>
      </c>
      <c r="C3" s="1">
        <v>69</v>
      </c>
      <c r="D3" s="1">
        <v>39</v>
      </c>
      <c r="E3" s="1">
        <v>11</v>
      </c>
      <c r="F3" s="1">
        <v>56</v>
      </c>
      <c r="G3" s="1">
        <v>32</v>
      </c>
      <c r="H3" s="1">
        <v>11</v>
      </c>
      <c r="I3" s="1">
        <v>4</v>
      </c>
      <c r="J3" s="1">
        <v>6</v>
      </c>
      <c r="K3" s="1">
        <v>67</v>
      </c>
      <c r="L3" s="1">
        <v>100</v>
      </c>
      <c r="M3" s="1">
        <v>100</v>
      </c>
      <c r="N3" s="1">
        <v>4</v>
      </c>
      <c r="O3" s="1">
        <f t="shared" ref="O3:O9" si="0">SUM(C3:N3)</f>
        <v>499</v>
      </c>
      <c r="P3" s="2">
        <f>O3*B3</f>
        <v>14471</v>
      </c>
    </row>
    <row r="4" spans="1:16" ht="15.75" customHeight="1" x14ac:dyDescent="0.25">
      <c r="A4" s="1" t="s">
        <v>17</v>
      </c>
      <c r="B4" s="2">
        <v>15</v>
      </c>
      <c r="C4" s="1">
        <v>33</v>
      </c>
      <c r="D4" s="1">
        <v>5</v>
      </c>
      <c r="E4" s="1">
        <v>25</v>
      </c>
      <c r="F4" s="1">
        <v>15</v>
      </c>
      <c r="G4" s="1">
        <v>23</v>
      </c>
      <c r="H4" s="1">
        <v>5</v>
      </c>
      <c r="I4" s="1">
        <v>6</v>
      </c>
      <c r="J4" s="1">
        <v>42</v>
      </c>
      <c r="K4" s="1">
        <v>11</v>
      </c>
      <c r="L4" s="1">
        <v>100</v>
      </c>
      <c r="M4" s="1">
        <v>100</v>
      </c>
      <c r="N4" s="1">
        <v>146.40000000000018</v>
      </c>
      <c r="O4" s="1">
        <f t="shared" si="0"/>
        <v>511.4000000000002</v>
      </c>
      <c r="P4" s="2">
        <f t="shared" ref="P4:P9" si="1">O4*B4</f>
        <v>7671.0000000000027</v>
      </c>
    </row>
    <row r="5" spans="1:16" ht="15.75" customHeight="1" x14ac:dyDescent="0.25">
      <c r="A5" s="1" t="s">
        <v>18</v>
      </c>
      <c r="B5" s="2">
        <v>25</v>
      </c>
      <c r="C5" s="1">
        <v>24</v>
      </c>
      <c r="D5" s="1">
        <v>53</v>
      </c>
      <c r="E5" s="1">
        <v>42</v>
      </c>
      <c r="F5" s="1">
        <v>11</v>
      </c>
      <c r="G5" s="1">
        <v>5</v>
      </c>
      <c r="H5" s="1">
        <v>15</v>
      </c>
      <c r="I5" s="1">
        <v>2</v>
      </c>
      <c r="J5" s="1">
        <v>56</v>
      </c>
      <c r="K5" s="1">
        <v>25</v>
      </c>
      <c r="L5" s="1">
        <v>100</v>
      </c>
      <c r="M5" s="1">
        <v>636.12</v>
      </c>
      <c r="N5" s="1">
        <v>25</v>
      </c>
      <c r="O5" s="1">
        <f t="shared" si="0"/>
        <v>994.12</v>
      </c>
      <c r="P5" s="2">
        <f t="shared" si="1"/>
        <v>24853</v>
      </c>
    </row>
    <row r="6" spans="1:16" ht="15.75" customHeight="1" x14ac:dyDescent="0.25">
      <c r="A6" s="1" t="s">
        <v>19</v>
      </c>
      <c r="B6" s="2">
        <v>9.816901408450688</v>
      </c>
      <c r="C6" s="1">
        <v>8</v>
      </c>
      <c r="D6" s="1">
        <v>11</v>
      </c>
      <c r="E6" s="1">
        <v>15</v>
      </c>
      <c r="F6" s="1">
        <v>11</v>
      </c>
      <c r="G6" s="1">
        <v>23</v>
      </c>
      <c r="H6" s="1">
        <v>23</v>
      </c>
      <c r="I6" s="1">
        <v>1</v>
      </c>
      <c r="J6" s="1">
        <v>15</v>
      </c>
      <c r="K6" s="1">
        <v>42</v>
      </c>
      <c r="L6" s="1">
        <v>100</v>
      </c>
      <c r="M6" s="1">
        <v>100</v>
      </c>
      <c r="N6" s="1">
        <v>6</v>
      </c>
      <c r="O6" s="1">
        <f t="shared" si="0"/>
        <v>355</v>
      </c>
      <c r="P6" s="2">
        <f t="shared" si="1"/>
        <v>3484.9999999999941</v>
      </c>
    </row>
    <row r="7" spans="1:16" ht="15.75" customHeight="1" x14ac:dyDescent="0.25">
      <c r="A7" s="1" t="s">
        <v>20</v>
      </c>
      <c r="B7" s="2">
        <v>26</v>
      </c>
      <c r="C7" s="1">
        <v>20</v>
      </c>
      <c r="D7" s="1">
        <v>22</v>
      </c>
      <c r="E7" s="1">
        <v>23</v>
      </c>
      <c r="F7" s="1">
        <v>15</v>
      </c>
      <c r="G7" s="1">
        <v>21</v>
      </c>
      <c r="H7" s="1">
        <v>3</v>
      </c>
      <c r="I7" s="1">
        <v>23</v>
      </c>
      <c r="J7" s="1">
        <v>11</v>
      </c>
      <c r="K7" s="1">
        <v>15</v>
      </c>
      <c r="L7" s="1">
        <v>100</v>
      </c>
      <c r="M7" s="1">
        <v>100</v>
      </c>
      <c r="N7" s="1">
        <v>25</v>
      </c>
      <c r="O7" s="1">
        <f t="shared" si="0"/>
        <v>378</v>
      </c>
      <c r="P7" s="2">
        <f t="shared" si="1"/>
        <v>9828</v>
      </c>
    </row>
    <row r="8" spans="1:16" ht="15.75" customHeight="1" x14ac:dyDescent="0.25">
      <c r="A8" s="1" t="s">
        <v>21</v>
      </c>
      <c r="B8" s="2">
        <v>45</v>
      </c>
      <c r="C8" s="1">
        <v>65</v>
      </c>
      <c r="D8" s="1">
        <v>15</v>
      </c>
      <c r="E8" s="1">
        <v>69</v>
      </c>
      <c r="F8" s="1">
        <v>69</v>
      </c>
      <c r="G8" s="1">
        <v>9</v>
      </c>
      <c r="H8" s="1">
        <v>8</v>
      </c>
      <c r="I8" s="1">
        <v>1</v>
      </c>
      <c r="J8" s="1">
        <v>11</v>
      </c>
      <c r="K8" s="1">
        <v>14</v>
      </c>
      <c r="L8" s="1">
        <v>100</v>
      </c>
      <c r="M8" s="1">
        <v>100</v>
      </c>
      <c r="N8" s="1">
        <v>42</v>
      </c>
      <c r="O8" s="1">
        <f t="shared" si="0"/>
        <v>503</v>
      </c>
      <c r="P8" s="2">
        <f t="shared" si="1"/>
        <v>22635</v>
      </c>
    </row>
    <row r="9" spans="1:16" ht="15.75" customHeight="1" x14ac:dyDescent="0.25">
      <c r="A9" s="1" t="s">
        <v>22</v>
      </c>
      <c r="B9" s="2">
        <v>27</v>
      </c>
      <c r="C9" s="1">
        <v>22</v>
      </c>
      <c r="D9" s="1">
        <v>9</v>
      </c>
      <c r="E9" s="1">
        <v>24</v>
      </c>
      <c r="F9" s="1">
        <v>24</v>
      </c>
      <c r="G9" s="1">
        <v>69</v>
      </c>
      <c r="H9" s="1">
        <v>15</v>
      </c>
      <c r="I9" s="1">
        <v>42</v>
      </c>
      <c r="J9" s="1">
        <v>11</v>
      </c>
      <c r="K9" s="1">
        <v>5</v>
      </c>
      <c r="L9" s="1">
        <v>100</v>
      </c>
      <c r="M9" s="1">
        <v>100</v>
      </c>
      <c r="N9" s="1">
        <v>15</v>
      </c>
      <c r="O9" s="1">
        <f t="shared" si="0"/>
        <v>436</v>
      </c>
      <c r="P9" s="2">
        <f t="shared" si="1"/>
        <v>11772</v>
      </c>
    </row>
    <row r="10" spans="1:16" ht="15.75" customHeight="1" x14ac:dyDescent="0.25">
      <c r="A10" s="5" t="s">
        <v>23</v>
      </c>
      <c r="B10" s="3"/>
      <c r="C10" s="1">
        <v>252</v>
      </c>
      <c r="D10" s="1">
        <v>179</v>
      </c>
      <c r="E10" s="1">
        <v>226</v>
      </c>
      <c r="F10" s="1">
        <v>213</v>
      </c>
      <c r="G10" s="1">
        <v>187</v>
      </c>
      <c r="H10" s="1">
        <v>104</v>
      </c>
      <c r="I10" s="1">
        <v>83</v>
      </c>
      <c r="J10" s="1">
        <v>155</v>
      </c>
      <c r="K10" s="1">
        <v>208</v>
      </c>
      <c r="L10" s="1">
        <f>SUM(L2:L9)</f>
        <v>800</v>
      </c>
      <c r="M10" s="1">
        <f>SUM(M2:M9)</f>
        <v>1336.12</v>
      </c>
      <c r="N10" s="1">
        <v>239</v>
      </c>
      <c r="O10" s="1">
        <f>SUM(C10:N10)</f>
        <v>3982.12</v>
      </c>
      <c r="P10" s="4">
        <f>SUM(P2:P9)</f>
        <v>101000</v>
      </c>
    </row>
  </sheetData>
  <scenarios current="5" show="5">
    <scenario name="Current year" locked="1" count="10" user="Tuan Jamamim" comment="Actual curret year numbers">
      <inputCells r="N1" val="Dec"/>
      <inputCells r="N2" val="89"/>
      <inputCells r="N3" val="4"/>
      <inputCells r="N4" val="33"/>
      <inputCells r="N5" val="25"/>
      <inputCells r="N6" val="6"/>
      <inputCells r="N7" val="25"/>
      <inputCells r="N8" val="42"/>
      <inputCells r="N9" val="15"/>
      <inputCells r="N10" val="239"/>
    </scenario>
    <scenario name="Optimistic scenario" locked="1" count="10" user="Tuan Jamamim" comment="Created by Tuan Jamamim on 4/1/2026_x000a_Modified by Tuan Jamamim on 4/1/2026">
      <inputCells r="N1" val="Dec"/>
      <inputCells r="N2" val="100"/>
      <inputCells r="N3" val="100"/>
      <inputCells r="N4" val="100"/>
      <inputCells r="N5" val="100"/>
      <inputCells r="N6" val="100"/>
      <inputCells r="N7" val="100"/>
      <inputCells r="N8" val="100"/>
      <inputCells r="N9" val="100"/>
      <inputCells r="N10" val="100"/>
    </scenario>
    <scenario name="pecimistic scenario" locked="1" count="10" user="Tuan Jamamim" comment="Created by Tuan Jamamim on 4/1/2026">
      <inputCells r="N1" val="Dec"/>
      <inputCells r="N2" val="10"/>
      <inputCells r="N3" val="10"/>
      <inputCells r="N4" val="10"/>
      <inputCells r="N5" val="100"/>
      <inputCells r="N6" val="10"/>
      <inputCells r="N7" val="10"/>
      <inputCells r="N8" val="10"/>
      <inputCells r="N9" val="10"/>
      <inputCells r="N10" val="10"/>
    </scenario>
    <scenario name="c scenario" locked="1" count="10" user="Tuan Jamamim" comment="current scenario">
      <inputCells r="M1" val="Nov"/>
      <inputCells r="M2" val="44"/>
      <inputCells r="M3" val="5"/>
      <inputCells r="M4" val="5"/>
      <inputCells r="M5" val="5"/>
      <inputCells r="M6" val="44"/>
      <inputCells r="M7" val="11"/>
      <inputCells r="M8" val="4"/>
      <inputCells r="M9" val="3"/>
      <inputCells r="M10" val="121"/>
    </scenario>
    <scenario name="o scenario" locked="1" count="10" user="Tuan Jamamim" comment="Created by Tuan Jamamim on 4/29/2026">
      <inputCells r="M1" val="Nov"/>
      <inputCells r="M2" val="100"/>
      <inputCells r="M3" val="100"/>
      <inputCells r="M4" val="100"/>
      <inputCells r="M5" val="100"/>
      <inputCells r="M6" val="100"/>
      <inputCells r="M7" val="100"/>
      <inputCells r="M8" val="100"/>
      <inputCells r="M9" val="100"/>
      <inputCells r="M10" val="121"/>
    </scenario>
    <scenario name="tuan sell" locked="1" count="10" user="Tuan Jamamim" comment="Created by Tuan Jamamim on 5/13/2026">
      <inputCells r="L1" val="Oct"/>
      <inputCells r="L2" val="100"/>
      <inputCells r="L3" val="100"/>
      <inputCells r="L4" val="100"/>
      <inputCells r="L5" val="100"/>
      <inputCells r="L6" val="100"/>
      <inputCells r="L7" val="100"/>
      <inputCells r="L8" val="100"/>
      <inputCells r="L9" val="100"/>
      <inputCells r="L10" val="100"/>
    </scenario>
  </scenario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38F0-F655-4790-B7C3-91F654047DC6}">
  <sheetPr>
    <outlinePr summaryBelow="0" summaryRight="0"/>
  </sheetPr>
  <dimension ref="A1:P10"/>
  <sheetViews>
    <sheetView topLeftCell="C1" zoomScale="90" zoomScaleNormal="90" workbookViewId="0">
      <selection sqref="A1:P10"/>
    </sheetView>
  </sheetViews>
  <sheetFormatPr defaultColWidth="12.6328125" defaultRowHeight="15.75" customHeight="1" x14ac:dyDescent="0.25"/>
  <cols>
    <col min="1" max="1" width="14.54296875" bestFit="1" customWidth="1"/>
    <col min="2" max="2" width="12.6328125" customWidth="1"/>
    <col min="15" max="15" width="18.26953125" bestFit="1" customWidth="1"/>
  </cols>
  <sheetData>
    <row r="1" spans="1:16" s="6" customFormat="1" ht="15.7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24</v>
      </c>
      <c r="P1" s="5" t="s">
        <v>14</v>
      </c>
    </row>
    <row r="2" spans="1:16" ht="15.75" customHeight="1" x14ac:dyDescent="0.25">
      <c r="A2" s="1" t="s">
        <v>15</v>
      </c>
      <c r="B2" s="2">
        <v>15</v>
      </c>
      <c r="C2" s="1">
        <v>11</v>
      </c>
      <c r="D2" s="1">
        <v>25</v>
      </c>
      <c r="E2" s="1">
        <v>17</v>
      </c>
      <c r="F2" s="1">
        <v>12</v>
      </c>
      <c r="G2" s="1">
        <v>5</v>
      </c>
      <c r="H2" s="1">
        <v>24</v>
      </c>
      <c r="I2" s="1">
        <v>4</v>
      </c>
      <c r="J2" s="1">
        <v>3</v>
      </c>
      <c r="K2" s="1">
        <v>29</v>
      </c>
      <c r="L2" s="1">
        <v>10</v>
      </c>
      <c r="M2" s="1">
        <v>44</v>
      </c>
      <c r="N2" s="1">
        <v>89</v>
      </c>
      <c r="O2" s="1">
        <f>SUM(C2:N2)</f>
        <v>273</v>
      </c>
      <c r="P2" s="2">
        <f>O2*B2</f>
        <v>4095</v>
      </c>
    </row>
    <row r="3" spans="1:16" ht="15.75" customHeight="1" x14ac:dyDescent="0.25">
      <c r="A3" s="1" t="s">
        <v>16</v>
      </c>
      <c r="B3" s="2">
        <v>29</v>
      </c>
      <c r="C3" s="1">
        <v>69</v>
      </c>
      <c r="D3" s="1">
        <v>39</v>
      </c>
      <c r="E3" s="1">
        <v>11</v>
      </c>
      <c r="F3" s="1">
        <v>56</v>
      </c>
      <c r="G3" s="1">
        <v>32</v>
      </c>
      <c r="H3" s="1">
        <v>11</v>
      </c>
      <c r="I3" s="1">
        <v>4</v>
      </c>
      <c r="J3" s="1">
        <v>6</v>
      </c>
      <c r="K3" s="1">
        <v>67</v>
      </c>
      <c r="L3" s="1">
        <v>7</v>
      </c>
      <c r="M3" s="1">
        <v>5</v>
      </c>
      <c r="N3" s="1">
        <v>4</v>
      </c>
      <c r="O3" s="1">
        <f t="shared" ref="O3:O9" si="0">SUM(C3:N3)</f>
        <v>311</v>
      </c>
      <c r="P3" s="2">
        <f>O3*B3</f>
        <v>9019</v>
      </c>
    </row>
    <row r="4" spans="1:16" ht="15.75" customHeight="1" x14ac:dyDescent="0.25">
      <c r="A4" s="1" t="s">
        <v>17</v>
      </c>
      <c r="B4" s="2">
        <v>15</v>
      </c>
      <c r="C4" s="1">
        <v>33</v>
      </c>
      <c r="D4" s="1">
        <v>5</v>
      </c>
      <c r="E4" s="1">
        <v>25</v>
      </c>
      <c r="F4" s="1">
        <v>15</v>
      </c>
      <c r="G4" s="1">
        <v>23</v>
      </c>
      <c r="H4" s="1">
        <v>5</v>
      </c>
      <c r="I4" s="1">
        <v>6</v>
      </c>
      <c r="J4" s="1">
        <v>42</v>
      </c>
      <c r="K4" s="1">
        <v>11</v>
      </c>
      <c r="L4" s="1">
        <v>5</v>
      </c>
      <c r="M4" s="1">
        <v>5</v>
      </c>
      <c r="N4" s="1">
        <v>33</v>
      </c>
      <c r="O4" s="1">
        <f t="shared" si="0"/>
        <v>208</v>
      </c>
      <c r="P4" s="2">
        <f t="shared" ref="P4:P9" si="1">O4*B4</f>
        <v>3120</v>
      </c>
    </row>
    <row r="5" spans="1:16" ht="15.75" customHeight="1" x14ac:dyDescent="0.25">
      <c r="A5" s="1" t="s">
        <v>18</v>
      </c>
      <c r="B5" s="2">
        <v>25</v>
      </c>
      <c r="C5" s="1">
        <v>24</v>
      </c>
      <c r="D5" s="1">
        <v>53</v>
      </c>
      <c r="E5" s="1">
        <v>42</v>
      </c>
      <c r="F5" s="1">
        <v>11</v>
      </c>
      <c r="G5" s="1">
        <v>5</v>
      </c>
      <c r="H5" s="1">
        <v>15</v>
      </c>
      <c r="I5" s="1">
        <v>2</v>
      </c>
      <c r="J5" s="1">
        <v>56</v>
      </c>
      <c r="K5" s="1">
        <v>25</v>
      </c>
      <c r="L5" s="1">
        <v>4</v>
      </c>
      <c r="M5" s="1">
        <v>5</v>
      </c>
      <c r="N5" s="1">
        <v>25</v>
      </c>
      <c r="O5" s="1">
        <f t="shared" si="0"/>
        <v>267</v>
      </c>
      <c r="P5" s="2">
        <f t="shared" si="1"/>
        <v>6675</v>
      </c>
    </row>
    <row r="6" spans="1:16" ht="15.75" customHeight="1" x14ac:dyDescent="0.25">
      <c r="A6" s="1" t="s">
        <v>19</v>
      </c>
      <c r="B6" s="2">
        <v>7</v>
      </c>
      <c r="C6" s="1">
        <v>8</v>
      </c>
      <c r="D6" s="1">
        <v>11</v>
      </c>
      <c r="E6" s="1">
        <v>15</v>
      </c>
      <c r="F6" s="1">
        <v>11</v>
      </c>
      <c r="G6" s="1">
        <v>23</v>
      </c>
      <c r="H6" s="1">
        <v>23</v>
      </c>
      <c r="I6" s="1">
        <v>1</v>
      </c>
      <c r="J6" s="1">
        <v>15</v>
      </c>
      <c r="K6" s="1">
        <v>42</v>
      </c>
      <c r="L6" s="1">
        <v>23</v>
      </c>
      <c r="M6" s="1">
        <v>44</v>
      </c>
      <c r="N6" s="1">
        <v>6</v>
      </c>
      <c r="O6" s="1">
        <f t="shared" si="0"/>
        <v>222</v>
      </c>
      <c r="P6" s="2">
        <f t="shared" si="1"/>
        <v>1554</v>
      </c>
    </row>
    <row r="7" spans="1:16" ht="15.75" customHeight="1" x14ac:dyDescent="0.25">
      <c r="A7" s="1" t="s">
        <v>20</v>
      </c>
      <c r="B7" s="2">
        <v>26</v>
      </c>
      <c r="C7" s="1">
        <v>20</v>
      </c>
      <c r="D7" s="1">
        <v>22</v>
      </c>
      <c r="E7" s="1">
        <v>23</v>
      </c>
      <c r="F7" s="1">
        <v>15</v>
      </c>
      <c r="G7" s="1">
        <v>21</v>
      </c>
      <c r="H7" s="1">
        <v>3</v>
      </c>
      <c r="I7" s="1">
        <v>23</v>
      </c>
      <c r="J7" s="1">
        <v>11</v>
      </c>
      <c r="K7" s="1">
        <v>15</v>
      </c>
      <c r="L7" s="1">
        <v>42</v>
      </c>
      <c r="M7" s="1">
        <v>11</v>
      </c>
      <c r="N7" s="1">
        <v>25</v>
      </c>
      <c r="O7" s="1">
        <f t="shared" si="0"/>
        <v>231</v>
      </c>
      <c r="P7" s="2">
        <f t="shared" si="1"/>
        <v>6006</v>
      </c>
    </row>
    <row r="8" spans="1:16" ht="15.75" customHeight="1" x14ac:dyDescent="0.25">
      <c r="A8" s="1" t="s">
        <v>21</v>
      </c>
      <c r="B8" s="2">
        <v>45</v>
      </c>
      <c r="C8" s="1">
        <v>65</v>
      </c>
      <c r="D8" s="1">
        <v>15</v>
      </c>
      <c r="E8" s="1">
        <v>69</v>
      </c>
      <c r="F8" s="1">
        <v>69</v>
      </c>
      <c r="G8" s="1">
        <v>9</v>
      </c>
      <c r="H8" s="1">
        <v>8</v>
      </c>
      <c r="I8" s="1">
        <v>1</v>
      </c>
      <c r="J8" s="1">
        <v>11</v>
      </c>
      <c r="K8" s="1">
        <v>14</v>
      </c>
      <c r="L8" s="1">
        <v>11</v>
      </c>
      <c r="M8" s="1">
        <v>4</v>
      </c>
      <c r="N8" s="1">
        <v>42</v>
      </c>
      <c r="O8" s="1">
        <f t="shared" si="0"/>
        <v>318</v>
      </c>
      <c r="P8" s="2">
        <f t="shared" si="1"/>
        <v>14310</v>
      </c>
    </row>
    <row r="9" spans="1:16" ht="15.75" customHeight="1" x14ac:dyDescent="0.25">
      <c r="A9" s="1" t="s">
        <v>22</v>
      </c>
      <c r="B9" s="2">
        <v>27</v>
      </c>
      <c r="C9" s="1">
        <v>22</v>
      </c>
      <c r="D9" s="1">
        <v>9</v>
      </c>
      <c r="E9" s="1">
        <v>24</v>
      </c>
      <c r="F9" s="1">
        <v>24</v>
      </c>
      <c r="G9" s="1">
        <v>69</v>
      </c>
      <c r="H9" s="1">
        <v>15</v>
      </c>
      <c r="I9" s="1">
        <v>42</v>
      </c>
      <c r="J9" s="1">
        <v>11</v>
      </c>
      <c r="K9" s="1">
        <v>5</v>
      </c>
      <c r="L9" s="1">
        <v>1</v>
      </c>
      <c r="M9" s="1">
        <v>3</v>
      </c>
      <c r="N9" s="1">
        <v>15</v>
      </c>
      <c r="O9" s="1">
        <f t="shared" si="0"/>
        <v>240</v>
      </c>
      <c r="P9" s="2">
        <f t="shared" si="1"/>
        <v>6480</v>
      </c>
    </row>
    <row r="10" spans="1:16" ht="15.75" customHeight="1" x14ac:dyDescent="0.25">
      <c r="A10" s="5" t="s">
        <v>23</v>
      </c>
      <c r="B10" s="3"/>
      <c r="C10" s="1">
        <v>252</v>
      </c>
      <c r="D10" s="1">
        <v>179</v>
      </c>
      <c r="E10" s="1">
        <v>226</v>
      </c>
      <c r="F10" s="1">
        <v>213</v>
      </c>
      <c r="G10" s="1">
        <v>187</v>
      </c>
      <c r="H10" s="1">
        <v>104</v>
      </c>
      <c r="I10" s="1">
        <v>83</v>
      </c>
      <c r="J10" s="1">
        <v>155</v>
      </c>
      <c r="K10" s="1">
        <v>208</v>
      </c>
      <c r="L10" s="1">
        <v>102</v>
      </c>
      <c r="M10" s="1">
        <v>121</v>
      </c>
      <c r="N10" s="1">
        <v>239</v>
      </c>
      <c r="O10" s="1">
        <f>SUM(C10:N10)</f>
        <v>2069</v>
      </c>
      <c r="P10" s="4">
        <f>SUM(P2:P9)</f>
        <v>51259</v>
      </c>
    </row>
  </sheetData>
  <scenarios current="0" show="0">
    <scenario name="Current year" locked="1" count="10" user="Tuan Jamamim" comment="Actual curret year numbers">
      <inputCells r="N1" val="Dec"/>
      <inputCells r="N2" val="89"/>
      <inputCells r="N3" val="4"/>
      <inputCells r="N4" val="33"/>
      <inputCells r="N5" val="25"/>
      <inputCells r="N6" val="6"/>
      <inputCells r="N7" val="25"/>
      <inputCells r="N8" val="42"/>
      <inputCells r="N9" val="15"/>
      <inputCells r="N10" val="239"/>
    </scenario>
    <scenario name="Optimistic scenario" locked="1" count="10" user="Tuan Jamamim" comment="Created by Tuan Jamamim on 4/1/2026_x000a_Modified by Tuan Jamamim on 4/1/2026">
      <inputCells r="N1" val="Dec"/>
      <inputCells r="N2" val="100"/>
      <inputCells r="N3" val="100"/>
      <inputCells r="N4" val="100"/>
      <inputCells r="N5" val="100"/>
      <inputCells r="N6" val="100"/>
      <inputCells r="N7" val="100"/>
      <inputCells r="N8" val="100"/>
      <inputCells r="N9" val="100"/>
      <inputCells r="N10" val="100"/>
    </scenario>
    <scenario name="pecimistic scenario" locked="1" count="10" user="Tuan Jamamim" comment="Created by Tuan Jamamim on 4/1/2026">
      <inputCells r="N1" val="Dec"/>
      <inputCells r="N2" val="10"/>
      <inputCells r="N3" val="10"/>
      <inputCells r="N4" val="10"/>
      <inputCells r="N5" val="100"/>
      <inputCells r="N6" val="10"/>
      <inputCells r="N7" val="10"/>
      <inputCells r="N8" val="10"/>
      <inputCells r="N9" val="10"/>
      <inputCells r="N10" val="1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 Data Table</vt:lpstr>
      <vt:lpstr>Games Data Table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Jamamim</dc:creator>
  <cp:lastModifiedBy>Tuan Jamamim</cp:lastModifiedBy>
  <dcterms:created xsi:type="dcterms:W3CDTF">2026-04-29T06:19:31Z</dcterms:created>
  <dcterms:modified xsi:type="dcterms:W3CDTF">2026-05-13T10:30:46Z</dcterms:modified>
</cp:coreProperties>
</file>