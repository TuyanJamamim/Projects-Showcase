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Tuan Jamamim\Downloads\Excel Projects\"/>
    </mc:Choice>
  </mc:AlternateContent>
  <xr:revisionPtr revIDLastSave="0" documentId="13_ncr:1_{1BAA88F8-9A4D-4793-9FBF-DD0F8100FB05}" xr6:coauthVersionLast="47" xr6:coauthVersionMax="47" xr10:uidLastSave="{00000000-0000-0000-0000-000000000000}"/>
  <bookViews>
    <workbookView xWindow="-110" yWindow="-110" windowWidth="19420" windowHeight="10300" activeTab="1" xr2:uid="{346724B3-1C49-40AE-AA36-C77CF5D6DD09}"/>
  </bookViews>
  <sheets>
    <sheet name="Pivot Table 1" sheetId="5" r:id="rId1"/>
    <sheet name="DashBoard" sheetId="6" r:id="rId2"/>
    <sheet name="pivot Table 2" sheetId="7" r:id="rId3"/>
    <sheet name="Pivot Table 3" sheetId="8" r:id="rId4"/>
    <sheet name="Sheet3" sheetId="10" r:id="rId5"/>
    <sheet name="Sheet1" sheetId="11" r:id="rId6"/>
    <sheet name="Sheet2" sheetId="12" r:id="rId7"/>
    <sheet name="Sheet4" sheetId="13" r:id="rId8"/>
    <sheet name="Data" sheetId="1" r:id="rId9"/>
    <sheet name="Questions &amp; KPIs" sheetId="2" r:id="rId10"/>
  </sheets>
  <definedNames>
    <definedName name="_xlchart.v5.0" hidden="1">Sheet1!$G$2:$H$2</definedName>
    <definedName name="_xlchart.v5.1" hidden="1">Sheet1!$G$3:$H$60</definedName>
    <definedName name="_xlchart.v5.2" hidden="1">Sheet1!$I$2</definedName>
    <definedName name="_xlchart.v5.3" hidden="1">Sheet1!$I$3:$I$60</definedName>
    <definedName name="_xlchart.v5.4" hidden="1">Sheet1!$L$2:$M$2</definedName>
    <definedName name="_xlchart.v5.5" hidden="1">Sheet1!$L$3:$M$60</definedName>
    <definedName name="_xlchart.v5.6" hidden="1">Sheet1!$N$2</definedName>
    <definedName name="_xlchart.v5.7" hidden="1">Sheet1!$N$3:$N$60</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7" l="1"/>
  <c r="K4" i="7"/>
  <c r="L4" i="7"/>
  <c r="I4" i="7"/>
  <c r="I5" i="7"/>
  <c r="J5" i="7"/>
  <c r="K5" i="7"/>
  <c r="L5" i="7"/>
  <c r="I6" i="7"/>
  <c r="J6" i="7"/>
  <c r="K6" i="7"/>
  <c r="L6" i="7"/>
  <c r="I7" i="7"/>
  <c r="J7" i="7"/>
  <c r="K7" i="7"/>
  <c r="L7" i="7"/>
  <c r="I8" i="7"/>
  <c r="J8" i="7"/>
  <c r="K8" i="7"/>
  <c r="L8" i="7"/>
  <c r="I9" i="7"/>
  <c r="J9" i="7"/>
  <c r="K9" i="7"/>
  <c r="L9" i="7"/>
  <c r="H9" i="7"/>
  <c r="H8" i="7"/>
  <c r="H7" i="7"/>
  <c r="H6" i="7"/>
  <c r="H5" i="7"/>
  <c r="H5" i="5"/>
  <c r="I5" i="5"/>
  <c r="J5" i="5"/>
  <c r="K5" i="5"/>
  <c r="G5" i="5"/>
  <c r="N2" i="1"/>
  <c r="M2329" i="1"/>
  <c r="O2" i="1" a="1"/>
  <c r="O2" i="1" s="1"/>
  <c r="O3" i="1" a="1"/>
  <c r="O3" i="1" s="1"/>
  <c r="O4" i="1" a="1"/>
  <c r="O4" i="1"/>
  <c r="O5" i="1" a="1"/>
  <c r="O5" i="1" s="1"/>
  <c r="O6" i="1" a="1"/>
  <c r="O6" i="1" s="1"/>
  <c r="O7" i="1" a="1"/>
  <c r="O7" i="1" s="1"/>
  <c r="O8" i="1" a="1"/>
  <c r="O8" i="1" s="1"/>
  <c r="O9" i="1" a="1"/>
  <c r="O9" i="1" s="1"/>
  <c r="O10" i="1" a="1"/>
  <c r="O10" i="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c r="O29" i="1" a="1"/>
  <c r="O29" i="1" s="1"/>
  <c r="O30" i="1" a="1"/>
  <c r="O30" i="1" s="1"/>
  <c r="O31" i="1" a="1"/>
  <c r="O31" i="1" s="1"/>
  <c r="O32" i="1" a="1"/>
  <c r="O32" i="1" s="1"/>
  <c r="O33" i="1" a="1"/>
  <c r="O33" i="1" s="1"/>
  <c r="O34" i="1" a="1"/>
  <c r="O34" i="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c r="O53" i="1" a="1"/>
  <c r="O53" i="1" s="1"/>
  <c r="O54" i="1" a="1"/>
  <c r="O54" i="1" s="1"/>
  <c r="O55" i="1" a="1"/>
  <c r="O55" i="1" s="1"/>
  <c r="O56" i="1" a="1"/>
  <c r="O56" i="1" s="1"/>
  <c r="O57" i="1" a="1"/>
  <c r="O57" i="1" s="1"/>
  <c r="O58" i="1" a="1"/>
  <c r="O58" i="1"/>
  <c r="O59" i="1" a="1"/>
  <c r="O59" i="1" s="1"/>
  <c r="O60" i="1" a="1"/>
  <c r="O60" i="1" s="1"/>
  <c r="O61" i="1" a="1"/>
  <c r="O61" i="1" s="1"/>
  <c r="O62" i="1" a="1"/>
  <c r="O62" i="1" s="1"/>
  <c r="O63" i="1" a="1"/>
  <c r="O63" i="1" s="1"/>
  <c r="O64" i="1" a="1"/>
  <c r="O64" i="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c r="O404" i="1" a="1"/>
  <c r="O404" i="1" s="1"/>
  <c r="O405" i="1" a="1"/>
  <c r="O405" i="1" s="1"/>
  <c r="O406" i="1" a="1"/>
  <c r="O406" i="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c r="O420" i="1" a="1"/>
  <c r="O420" i="1" s="1"/>
  <c r="O421" i="1" a="1"/>
  <c r="O421" i="1" s="1"/>
  <c r="O422" i="1" a="1"/>
  <c r="O422" i="1" s="1"/>
  <c r="O423" i="1" a="1"/>
  <c r="O423" i="1" s="1"/>
  <c r="O424" i="1" a="1"/>
  <c r="O424" i="1" s="1"/>
  <c r="O425" i="1" a="1"/>
  <c r="O425" i="1" s="1"/>
  <c r="O426" i="1" a="1"/>
  <c r="O426" i="1" s="1"/>
  <c r="O427" i="1" a="1"/>
  <c r="O427" i="1"/>
  <c r="O428" i="1" a="1"/>
  <c r="O428" i="1" s="1"/>
  <c r="O429" i="1" a="1"/>
  <c r="O429" i="1" s="1"/>
  <c r="O430" i="1" a="1"/>
  <c r="O430" i="1"/>
  <c r="O431" i="1" a="1"/>
  <c r="O431" i="1"/>
  <c r="O432" i="1" a="1"/>
  <c r="O432" i="1" s="1"/>
  <c r="O433" i="1" a="1"/>
  <c r="O433" i="1" s="1"/>
  <c r="O434" i="1" a="1"/>
  <c r="O434" i="1" s="1"/>
  <c r="O435" i="1" a="1"/>
  <c r="O435" i="1" s="1"/>
  <c r="O436" i="1" a="1"/>
  <c r="O436" i="1"/>
  <c r="O437" i="1" a="1"/>
  <c r="O437" i="1" s="1"/>
  <c r="O438" i="1" a="1"/>
  <c r="O438" i="1" s="1"/>
  <c r="O439" i="1" a="1"/>
  <c r="O439" i="1" s="1"/>
  <c r="O440" i="1" a="1"/>
  <c r="O440" i="1" s="1"/>
  <c r="O441" i="1" a="1"/>
  <c r="O441" i="1" s="1"/>
  <c r="O442" i="1" a="1"/>
  <c r="O442" i="1" s="1"/>
  <c r="O443" i="1" a="1"/>
  <c r="O443" i="1"/>
  <c r="O444" i="1" a="1"/>
  <c r="O444" i="1" s="1"/>
  <c r="O445" i="1" a="1"/>
  <c r="O445" i="1" s="1"/>
  <c r="O446" i="1" a="1"/>
  <c r="O446" i="1" s="1"/>
  <c r="O447" i="1" a="1"/>
  <c r="O447" i="1" s="1"/>
  <c r="O448" i="1" a="1"/>
  <c r="O448" i="1" s="1"/>
  <c r="O449" i="1" a="1"/>
  <c r="O449" i="1"/>
  <c r="O450" i="1" a="1"/>
  <c r="O450" i="1" s="1"/>
  <c r="O451" i="1" a="1"/>
  <c r="O451" i="1"/>
  <c r="O452" i="1" a="1"/>
  <c r="O452" i="1" s="1"/>
  <c r="O453" i="1" a="1"/>
  <c r="O453" i="1" s="1"/>
  <c r="O454" i="1" a="1"/>
  <c r="O454" i="1"/>
  <c r="O455" i="1" a="1"/>
  <c r="O455" i="1"/>
  <c r="O456" i="1" a="1"/>
  <c r="O456" i="1" s="1"/>
  <c r="O457" i="1" a="1"/>
  <c r="O457" i="1"/>
  <c r="O458" i="1" a="1"/>
  <c r="O458" i="1" s="1"/>
  <c r="O459" i="1" a="1"/>
  <c r="O459" i="1" s="1"/>
  <c r="O460" i="1" a="1"/>
  <c r="O460" i="1"/>
  <c r="O461" i="1" a="1"/>
  <c r="O461" i="1" s="1"/>
  <c r="O462" i="1" a="1"/>
  <c r="O462" i="1" s="1"/>
  <c r="O463" i="1" a="1"/>
  <c r="O463" i="1"/>
  <c r="O464" i="1" a="1"/>
  <c r="O464" i="1" s="1"/>
  <c r="O465" i="1" a="1"/>
  <c r="O465" i="1" s="1"/>
  <c r="O466" i="1" a="1"/>
  <c r="O466" i="1" s="1"/>
  <c r="O467" i="1" a="1"/>
  <c r="O467" i="1"/>
  <c r="O468" i="1" a="1"/>
  <c r="O468" i="1" s="1"/>
  <c r="O469" i="1" a="1"/>
  <c r="O469" i="1" s="1"/>
  <c r="O470" i="1" a="1"/>
  <c r="O470" i="1" s="1"/>
  <c r="O471" i="1" a="1"/>
  <c r="O471" i="1" s="1"/>
  <c r="O472" i="1" a="1"/>
  <c r="O472" i="1" s="1"/>
  <c r="O473" i="1" a="1"/>
  <c r="O473" i="1" s="1"/>
  <c r="O474" i="1" a="1"/>
  <c r="O474" i="1" s="1"/>
  <c r="O475" i="1" a="1"/>
  <c r="O475" i="1"/>
  <c r="O476" i="1" a="1"/>
  <c r="O476" i="1" s="1"/>
  <c r="O477" i="1" a="1"/>
  <c r="O477" i="1" s="1"/>
  <c r="O478" i="1" a="1"/>
  <c r="O478" i="1" s="1"/>
  <c r="O479" i="1" a="1"/>
  <c r="O479" i="1" s="1"/>
  <c r="O480" i="1" a="1"/>
  <c r="O480" i="1"/>
  <c r="O481" i="1" a="1"/>
  <c r="O481" i="1" s="1"/>
  <c r="O482" i="1" a="1"/>
  <c r="O482" i="1" s="1"/>
  <c r="O483" i="1" a="1"/>
  <c r="O483" i="1" s="1"/>
  <c r="O484" i="1" a="1"/>
  <c r="O484" i="1"/>
  <c r="O485" i="1" a="1"/>
  <c r="O485" i="1"/>
  <c r="O486" i="1" a="1"/>
  <c r="O486" i="1" s="1"/>
  <c r="O487" i="1" a="1"/>
  <c r="O487" i="1"/>
  <c r="O488" i="1" a="1"/>
  <c r="O488" i="1" s="1"/>
  <c r="O489" i="1" a="1"/>
  <c r="O489" i="1" s="1"/>
  <c r="O490" i="1" a="1"/>
  <c r="O490" i="1" s="1"/>
  <c r="O491" i="1" a="1"/>
  <c r="O491" i="1"/>
  <c r="O492" i="1" a="1"/>
  <c r="O492" i="1" s="1"/>
  <c r="O493" i="1" a="1"/>
  <c r="O493" i="1" s="1"/>
  <c r="O494" i="1" a="1"/>
  <c r="O494" i="1" s="1"/>
  <c r="O495" i="1" a="1"/>
  <c r="O495" i="1" s="1"/>
  <c r="O496" i="1" a="1"/>
  <c r="O496" i="1" s="1"/>
  <c r="O497" i="1" a="1"/>
  <c r="O497" i="1" s="1"/>
  <c r="O498" i="1" a="1"/>
  <c r="O498" i="1"/>
  <c r="O499" i="1" a="1"/>
  <c r="O499" i="1" s="1"/>
  <c r="O500" i="1" a="1"/>
  <c r="O500" i="1" s="1"/>
  <c r="O501" i="1" a="1"/>
  <c r="O501" i="1" s="1"/>
  <c r="O502" i="1" a="1"/>
  <c r="O502" i="1" s="1"/>
  <c r="O503" i="1" a="1"/>
  <c r="O503" i="1" s="1"/>
  <c r="O504" i="1" a="1"/>
  <c r="O504" i="1" s="1"/>
  <c r="O505" i="1" a="1"/>
  <c r="O505" i="1"/>
  <c r="O506" i="1" a="1"/>
  <c r="O506" i="1" s="1"/>
  <c r="O507" i="1" a="1"/>
  <c r="O507" i="1" s="1"/>
  <c r="O508" i="1" a="1"/>
  <c r="O508" i="1" s="1"/>
  <c r="O509" i="1" a="1"/>
  <c r="O509" i="1" s="1"/>
  <c r="O510" i="1" a="1"/>
  <c r="O510" i="1"/>
  <c r="O511" i="1" a="1"/>
  <c r="O511" i="1"/>
  <c r="O512" i="1" a="1"/>
  <c r="O512" i="1" s="1"/>
  <c r="O513" i="1" a="1"/>
  <c r="O513" i="1" s="1"/>
  <c r="O514" i="1" a="1"/>
  <c r="O514" i="1" s="1"/>
  <c r="O515" i="1" a="1"/>
  <c r="O515" i="1"/>
  <c r="O516" i="1" a="1"/>
  <c r="O516" i="1" s="1"/>
  <c r="O517" i="1" a="1"/>
  <c r="O517" i="1" s="1"/>
  <c r="O518" i="1" a="1"/>
  <c r="O518" i="1" s="1"/>
  <c r="O519" i="1" a="1"/>
  <c r="O519" i="1"/>
  <c r="O520" i="1" a="1"/>
  <c r="O520" i="1" s="1"/>
  <c r="O521" i="1" a="1"/>
  <c r="O521" i="1" s="1"/>
  <c r="O522" i="1" a="1"/>
  <c r="O522" i="1" s="1"/>
  <c r="O523" i="1" a="1"/>
  <c r="O523" i="1"/>
  <c r="O524" i="1" a="1"/>
  <c r="O524" i="1"/>
  <c r="O525" i="1" a="1"/>
  <c r="O525" i="1" s="1"/>
  <c r="O526" i="1" a="1"/>
  <c r="O526" i="1" s="1"/>
  <c r="O527" i="1" a="1"/>
  <c r="O527" i="1" s="1"/>
  <c r="O528" i="1" a="1"/>
  <c r="O528" i="1"/>
  <c r="O529" i="1" a="1"/>
  <c r="O529" i="1" s="1"/>
  <c r="O530" i="1" a="1"/>
  <c r="O530" i="1" s="1"/>
  <c r="O531" i="1" a="1"/>
  <c r="O531" i="1" s="1"/>
  <c r="O532" i="1" a="1"/>
  <c r="O532" i="1" s="1"/>
  <c r="O533" i="1" a="1"/>
  <c r="O533" i="1" s="1"/>
  <c r="O534" i="1" a="1"/>
  <c r="O534" i="1" s="1"/>
  <c r="O535" i="1" a="1"/>
  <c r="O535" i="1" s="1"/>
  <c r="O536" i="1" a="1"/>
  <c r="O536" i="1"/>
  <c r="O537" i="1" a="1"/>
  <c r="O537" i="1"/>
  <c r="O538" i="1" a="1"/>
  <c r="O538" i="1" s="1"/>
  <c r="O539" i="1" a="1"/>
  <c r="O539" i="1"/>
  <c r="O540" i="1" a="1"/>
  <c r="O540" i="1" s="1"/>
  <c r="O541" i="1" a="1"/>
  <c r="O541" i="1"/>
  <c r="O542" i="1" a="1"/>
  <c r="O542" i="1" s="1"/>
  <c r="O543" i="1" a="1"/>
  <c r="O543" i="1" s="1"/>
  <c r="O544" i="1" a="1"/>
  <c r="O544" i="1" s="1"/>
  <c r="O545" i="1" a="1"/>
  <c r="O545" i="1" s="1"/>
  <c r="O546" i="1" a="1"/>
  <c r="O546" i="1"/>
  <c r="O547" i="1" a="1"/>
  <c r="O547" i="1" s="1"/>
  <c r="O548" i="1" a="1"/>
  <c r="O548" i="1" s="1"/>
  <c r="O549" i="1" a="1"/>
  <c r="O549" i="1"/>
  <c r="O550" i="1" a="1"/>
  <c r="O550" i="1" s="1"/>
  <c r="O551" i="1" a="1"/>
  <c r="O551" i="1" s="1"/>
  <c r="O552" i="1" a="1"/>
  <c r="O552" i="1"/>
  <c r="O553" i="1" a="1"/>
  <c r="O553" i="1" s="1"/>
  <c r="O554" i="1" a="1"/>
  <c r="O554" i="1"/>
  <c r="O555" i="1" a="1"/>
  <c r="O555" i="1" s="1"/>
  <c r="O556" i="1" a="1"/>
  <c r="O556" i="1" s="1"/>
  <c r="O557" i="1" a="1"/>
  <c r="O557" i="1"/>
  <c r="O558" i="1" a="1"/>
  <c r="O558" i="1" s="1"/>
  <c r="O559" i="1" a="1"/>
  <c r="O559" i="1"/>
  <c r="O560" i="1" a="1"/>
  <c r="O560" i="1" s="1"/>
  <c r="O561" i="1" a="1"/>
  <c r="O561" i="1" s="1"/>
  <c r="O562" i="1" a="1"/>
  <c r="O562" i="1" s="1"/>
  <c r="O563" i="1" a="1"/>
  <c r="O563" i="1" s="1"/>
  <c r="O564" i="1" a="1"/>
  <c r="O564" i="1" s="1"/>
  <c r="O565" i="1" a="1"/>
  <c r="O565" i="1"/>
  <c r="O566" i="1" a="1"/>
  <c r="O566" i="1" s="1"/>
  <c r="O567" i="1" a="1"/>
  <c r="O567" i="1"/>
  <c r="O568" i="1" a="1"/>
  <c r="O568" i="1" s="1"/>
  <c r="O569" i="1" a="1"/>
  <c r="O569" i="1"/>
  <c r="O570" i="1" a="1"/>
  <c r="O570" i="1"/>
  <c r="O571" i="1" a="1"/>
  <c r="O571" i="1" s="1"/>
  <c r="O572" i="1" a="1"/>
  <c r="O572" i="1" s="1"/>
  <c r="O573" i="1" a="1"/>
  <c r="O573" i="1" s="1"/>
  <c r="O574" i="1" a="1"/>
  <c r="O574" i="1" s="1"/>
  <c r="O575" i="1" a="1"/>
  <c r="O575" i="1" s="1"/>
  <c r="O576" i="1" a="1"/>
  <c r="O576" i="1" s="1"/>
  <c r="O577" i="1" a="1"/>
  <c r="O577" i="1" s="1"/>
  <c r="O578" i="1" a="1"/>
  <c r="O578" i="1"/>
  <c r="O579" i="1" a="1"/>
  <c r="O579" i="1"/>
  <c r="O580" i="1" a="1"/>
  <c r="O580" i="1" s="1"/>
  <c r="O581" i="1" a="1"/>
  <c r="O581" i="1" s="1"/>
  <c r="O582" i="1" a="1"/>
  <c r="O582" i="1"/>
  <c r="O583" i="1" a="1"/>
  <c r="O583" i="1"/>
  <c r="O584" i="1" a="1"/>
  <c r="O584" i="1" s="1"/>
  <c r="O585" i="1" a="1"/>
  <c r="O585" i="1" s="1"/>
  <c r="O586" i="1" a="1"/>
  <c r="O586" i="1" s="1"/>
  <c r="O587" i="1" a="1"/>
  <c r="O587" i="1"/>
  <c r="O588" i="1" a="1"/>
  <c r="O588" i="1" s="1"/>
  <c r="O589" i="1" a="1"/>
  <c r="O589" i="1" s="1"/>
  <c r="O590" i="1" a="1"/>
  <c r="O590" i="1" s="1"/>
  <c r="O591" i="1" a="1"/>
  <c r="O591" i="1"/>
  <c r="O592" i="1" a="1"/>
  <c r="O592" i="1" s="1"/>
  <c r="O593" i="1" a="1"/>
  <c r="O593" i="1" s="1"/>
  <c r="O594" i="1" a="1"/>
  <c r="O594" i="1" s="1"/>
  <c r="O595" i="1" a="1"/>
  <c r="O595" i="1"/>
  <c r="O596" i="1" a="1"/>
  <c r="O596" i="1"/>
  <c r="O597" i="1" a="1"/>
  <c r="O597" i="1" s="1"/>
  <c r="O598" i="1" a="1"/>
  <c r="O598" i="1" s="1"/>
  <c r="O599" i="1" a="1"/>
  <c r="O599" i="1"/>
  <c r="O600" i="1" a="1"/>
  <c r="O600" i="1"/>
  <c r="O601" i="1" a="1"/>
  <c r="O601" i="1" s="1"/>
  <c r="O602" i="1" a="1"/>
  <c r="O602" i="1" s="1"/>
  <c r="O603" i="1" a="1"/>
  <c r="O603" i="1" s="1"/>
  <c r="O604" i="1" a="1"/>
  <c r="O604" i="1" s="1"/>
  <c r="O605" i="1" a="1"/>
  <c r="O605" i="1"/>
  <c r="O606" i="1" a="1"/>
  <c r="O606" i="1" s="1"/>
  <c r="O607" i="1" a="1"/>
  <c r="O607" i="1" s="1"/>
  <c r="O608" i="1" a="1"/>
  <c r="O608" i="1"/>
  <c r="O609" i="1" a="1"/>
  <c r="O609" i="1"/>
  <c r="O610" i="1" a="1"/>
  <c r="O610" i="1" s="1"/>
  <c r="O611" i="1" a="1"/>
  <c r="O611" i="1"/>
  <c r="O612" i="1" a="1"/>
  <c r="O612" i="1" s="1"/>
  <c r="O613" i="1" a="1"/>
  <c r="O613" i="1"/>
  <c r="O614" i="1" a="1"/>
  <c r="O614" i="1" s="1"/>
  <c r="O615" i="1" a="1"/>
  <c r="O615" i="1" s="1"/>
  <c r="O616" i="1" a="1"/>
  <c r="O616" i="1" s="1"/>
  <c r="O617" i="1" a="1"/>
  <c r="O617" i="1" s="1"/>
  <c r="O618" i="1" a="1"/>
  <c r="O618" i="1"/>
  <c r="O619" i="1" a="1"/>
  <c r="O619" i="1" s="1"/>
  <c r="O620" i="1" a="1"/>
  <c r="O620" i="1" s="1"/>
  <c r="O621" i="1" a="1"/>
  <c r="O621" i="1"/>
  <c r="O622" i="1" a="1"/>
  <c r="O622" i="1" s="1"/>
  <c r="O623" i="1" a="1"/>
  <c r="O623" i="1" s="1"/>
  <c r="O624" i="1" a="1"/>
  <c r="O624" i="1"/>
  <c r="O625" i="1" a="1"/>
  <c r="O625" i="1" s="1"/>
  <c r="O626" i="1" a="1"/>
  <c r="O626" i="1"/>
  <c r="O627" i="1" a="1"/>
  <c r="O627" i="1" s="1"/>
  <c r="O628" i="1" a="1"/>
  <c r="O628" i="1" s="1"/>
  <c r="O629" i="1" a="1"/>
  <c r="O629" i="1"/>
  <c r="O630" i="1" a="1"/>
  <c r="O630" i="1" s="1"/>
  <c r="O631" i="1" a="1"/>
  <c r="O631" i="1"/>
  <c r="O632" i="1" a="1"/>
  <c r="O632" i="1" s="1"/>
  <c r="O633" i="1" a="1"/>
  <c r="O633" i="1" s="1"/>
  <c r="O634" i="1" a="1"/>
  <c r="O634" i="1" s="1"/>
  <c r="O635" i="1" a="1"/>
  <c r="O635" i="1" s="1"/>
  <c r="O636" i="1" a="1"/>
  <c r="O636" i="1" s="1"/>
  <c r="O637" i="1" a="1"/>
  <c r="O637" i="1"/>
  <c r="O638" i="1" a="1"/>
  <c r="O638" i="1" s="1"/>
  <c r="O639" i="1" a="1"/>
  <c r="O639" i="1"/>
  <c r="O640" i="1" a="1"/>
  <c r="O640" i="1" s="1"/>
  <c r="O641" i="1" a="1"/>
  <c r="O641" i="1"/>
  <c r="O642" i="1" a="1"/>
  <c r="O642" i="1"/>
  <c r="O643" i="1" a="1"/>
  <c r="O643" i="1" s="1"/>
  <c r="O644" i="1" a="1"/>
  <c r="O644" i="1" s="1"/>
  <c r="O645" i="1" a="1"/>
  <c r="O645" i="1" s="1"/>
  <c r="O646" i="1" a="1"/>
  <c r="O646" i="1" s="1"/>
  <c r="O647" i="1" a="1"/>
  <c r="O647" i="1" s="1"/>
  <c r="O648" i="1" a="1"/>
  <c r="O648" i="1" s="1"/>
  <c r="O649" i="1" a="1"/>
  <c r="O649" i="1" s="1"/>
  <c r="O650" i="1" a="1"/>
  <c r="O650" i="1"/>
  <c r="O651" i="1" a="1"/>
  <c r="O651" i="1" s="1"/>
  <c r="O652" i="1" a="1"/>
  <c r="O652" i="1" s="1"/>
  <c r="O653" i="1" a="1"/>
  <c r="O653" i="1" s="1"/>
  <c r="O654" i="1" a="1"/>
  <c r="O654" i="1"/>
  <c r="O655" i="1" a="1"/>
  <c r="O655" i="1"/>
  <c r="O656" i="1" a="1"/>
  <c r="O656" i="1" s="1"/>
  <c r="O657" i="1" a="1"/>
  <c r="O657" i="1" s="1"/>
  <c r="O658" i="1" a="1"/>
  <c r="O658" i="1" s="1"/>
  <c r="O659" i="1" a="1"/>
  <c r="O659" i="1"/>
  <c r="O660" i="1" a="1"/>
  <c r="O660" i="1" s="1"/>
  <c r="O661" i="1" a="1"/>
  <c r="O661" i="1" s="1"/>
  <c r="O662" i="1" a="1"/>
  <c r="O662" i="1" s="1"/>
  <c r="O663" i="1" a="1"/>
  <c r="O663" i="1"/>
  <c r="O664" i="1" a="1"/>
  <c r="O664" i="1" s="1"/>
  <c r="O665" i="1" a="1"/>
  <c r="O665" i="1" s="1"/>
  <c r="O666" i="1" a="1"/>
  <c r="O666" i="1" s="1"/>
  <c r="O667" i="1" a="1"/>
  <c r="O667" i="1"/>
  <c r="O668" i="1" a="1"/>
  <c r="O668" i="1"/>
  <c r="O669" i="1" a="1"/>
  <c r="O669" i="1" s="1"/>
  <c r="O670" i="1" a="1"/>
  <c r="O670" i="1" s="1"/>
  <c r="O671" i="1" a="1"/>
  <c r="O671" i="1"/>
  <c r="O672" i="1" a="1"/>
  <c r="O672" i="1"/>
  <c r="O673" i="1" a="1"/>
  <c r="O673" i="1" s="1"/>
  <c r="O674" i="1" a="1"/>
  <c r="O674" i="1" s="1"/>
  <c r="O675" i="1" a="1"/>
  <c r="O675" i="1" s="1"/>
  <c r="O676" i="1" a="1"/>
  <c r="O676" i="1" s="1"/>
  <c r="O677" i="1" a="1"/>
  <c r="O677" i="1" s="1"/>
  <c r="O678" i="1" a="1"/>
  <c r="O678" i="1" s="1"/>
  <c r="O679" i="1" a="1"/>
  <c r="O679" i="1" s="1"/>
  <c r="O680" i="1" a="1"/>
  <c r="O680" i="1"/>
  <c r="O681" i="1" a="1"/>
  <c r="O681" i="1"/>
  <c r="O682" i="1" a="1"/>
  <c r="O682" i="1" s="1"/>
  <c r="O683" i="1" a="1"/>
  <c r="O683" i="1"/>
  <c r="O684" i="1" a="1"/>
  <c r="O684" i="1" s="1"/>
  <c r="O685" i="1" a="1"/>
  <c r="O685" i="1"/>
  <c r="O686" i="1" a="1"/>
  <c r="O686" i="1" s="1"/>
  <c r="O687" i="1" a="1"/>
  <c r="O687" i="1" s="1"/>
  <c r="O688" i="1" a="1"/>
  <c r="O688" i="1" s="1"/>
  <c r="O689" i="1" a="1"/>
  <c r="O689" i="1" s="1"/>
  <c r="O690" i="1" a="1"/>
  <c r="O690" i="1"/>
  <c r="O691" i="1" a="1"/>
  <c r="O691" i="1" s="1"/>
  <c r="O692" i="1" a="1"/>
  <c r="O692" i="1" s="1"/>
  <c r="O693" i="1" a="1"/>
  <c r="O693" i="1"/>
  <c r="O694" i="1" a="1"/>
  <c r="O694" i="1" s="1"/>
  <c r="O695" i="1" a="1"/>
  <c r="O695" i="1" s="1"/>
  <c r="O696" i="1" a="1"/>
  <c r="O696" i="1"/>
  <c r="O697" i="1" a="1"/>
  <c r="O697" i="1" s="1"/>
  <c r="O698" i="1" a="1"/>
  <c r="O698" i="1"/>
  <c r="O699" i="1" a="1"/>
  <c r="O699" i="1" s="1"/>
  <c r="O700" i="1" a="1"/>
  <c r="O700" i="1" s="1"/>
  <c r="O701" i="1" a="1"/>
  <c r="O701" i="1"/>
  <c r="O702" i="1" a="1"/>
  <c r="O702" i="1" s="1"/>
  <c r="O703" i="1" a="1"/>
  <c r="O703" i="1"/>
  <c r="O704" i="1" a="1"/>
  <c r="O704" i="1" s="1"/>
  <c r="O705" i="1" a="1"/>
  <c r="O705" i="1" s="1"/>
  <c r="O706" i="1" a="1"/>
  <c r="O706" i="1" s="1"/>
  <c r="O707" i="1" a="1"/>
  <c r="O707" i="1" s="1"/>
  <c r="O708" i="1" a="1"/>
  <c r="O708" i="1" s="1"/>
  <c r="O709" i="1" a="1"/>
  <c r="O709" i="1"/>
  <c r="O710" i="1" a="1"/>
  <c r="O710" i="1" s="1"/>
  <c r="O711" i="1" a="1"/>
  <c r="O711" i="1"/>
  <c r="O712" i="1" a="1"/>
  <c r="O712" i="1" s="1"/>
  <c r="O713" i="1" a="1"/>
  <c r="O713" i="1"/>
  <c r="O714" i="1" a="1"/>
  <c r="O714" i="1"/>
  <c r="O715" i="1" a="1"/>
  <c r="O715" i="1" s="1"/>
  <c r="O716" i="1" a="1"/>
  <c r="O716" i="1" s="1"/>
  <c r="O717" i="1" a="1"/>
  <c r="O717" i="1" s="1"/>
  <c r="O718" i="1" a="1"/>
  <c r="O718" i="1" s="1"/>
  <c r="O719" i="1" a="1"/>
  <c r="O719" i="1" s="1"/>
  <c r="O720" i="1" a="1"/>
  <c r="O720" i="1" s="1"/>
  <c r="O721" i="1" a="1"/>
  <c r="O721" i="1" s="1"/>
  <c r="O722" i="1" a="1"/>
  <c r="O722" i="1"/>
  <c r="O723" i="1" a="1"/>
  <c r="O723" i="1"/>
  <c r="O724" i="1" a="1"/>
  <c r="O724" i="1" s="1"/>
  <c r="O725" i="1" a="1"/>
  <c r="O725" i="1" s="1"/>
  <c r="O726" i="1" a="1"/>
  <c r="O726" i="1"/>
  <c r="O727" i="1" a="1"/>
  <c r="O727" i="1"/>
  <c r="O728" i="1" a="1"/>
  <c r="O728" i="1" s="1"/>
  <c r="O729" i="1" a="1"/>
  <c r="O729" i="1" s="1"/>
  <c r="O730" i="1" a="1"/>
  <c r="O730" i="1" s="1"/>
  <c r="O731" i="1" a="1"/>
  <c r="O731" i="1"/>
  <c r="O732" i="1" a="1"/>
  <c r="O732" i="1" s="1"/>
  <c r="O733" i="1" a="1"/>
  <c r="O733" i="1" s="1"/>
  <c r="O734" i="1" a="1"/>
  <c r="O734" i="1" s="1"/>
  <c r="O735" i="1" a="1"/>
  <c r="O735" i="1"/>
  <c r="O736" i="1" a="1"/>
  <c r="O736" i="1" s="1"/>
  <c r="O737" i="1" a="1"/>
  <c r="O737" i="1" s="1"/>
  <c r="O738" i="1" a="1"/>
  <c r="O738" i="1" s="1"/>
  <c r="O739" i="1" a="1"/>
  <c r="O739" i="1"/>
  <c r="O740" i="1" a="1"/>
  <c r="O740" i="1" s="1"/>
  <c r="O741" i="1" a="1"/>
  <c r="O741" i="1" s="1"/>
  <c r="O742" i="1" a="1"/>
  <c r="O742" i="1" s="1"/>
  <c r="O743" i="1" a="1"/>
  <c r="O743" i="1" s="1"/>
  <c r="O744" i="1" a="1"/>
  <c r="O744" i="1"/>
  <c r="O745" i="1" a="1"/>
  <c r="O745" i="1" s="1"/>
  <c r="O746" i="1" a="1"/>
  <c r="O746" i="1" s="1"/>
  <c r="O747" i="1" a="1"/>
  <c r="O747" i="1" s="1"/>
  <c r="O748" i="1" a="1"/>
  <c r="O748" i="1" s="1"/>
  <c r="O749" i="1" a="1"/>
  <c r="O749" i="1" s="1"/>
  <c r="O750" i="1" a="1"/>
  <c r="O750" i="1" s="1"/>
  <c r="O751" i="1" a="1"/>
  <c r="O751" i="1" s="1"/>
  <c r="O752" i="1" a="1"/>
  <c r="O752" i="1"/>
  <c r="O753" i="1" a="1"/>
  <c r="O753" i="1"/>
  <c r="O754" i="1" a="1"/>
  <c r="O754" i="1" s="1"/>
  <c r="O755" i="1" a="1"/>
  <c r="O755" i="1"/>
  <c r="O756" i="1" a="1"/>
  <c r="O756" i="1"/>
  <c r="O757" i="1" a="1"/>
  <c r="O757" i="1"/>
  <c r="O758" i="1" a="1"/>
  <c r="O758" i="1" s="1"/>
  <c r="O759" i="1" a="1"/>
  <c r="O759" i="1" s="1"/>
  <c r="O760" i="1" a="1"/>
  <c r="O760" i="1" s="1"/>
  <c r="O761" i="1" a="1"/>
  <c r="O761" i="1" s="1"/>
  <c r="O762" i="1" a="1"/>
  <c r="O762" i="1" s="1"/>
  <c r="O763" i="1" a="1"/>
  <c r="O763" i="1"/>
  <c r="O764" i="1" a="1"/>
  <c r="O764" i="1" s="1"/>
  <c r="O765" i="1" a="1"/>
  <c r="O765" i="1"/>
  <c r="O766" i="1" a="1"/>
  <c r="O766" i="1"/>
  <c r="O767" i="1" a="1"/>
  <c r="O767" i="1" s="1"/>
  <c r="O768" i="1" a="1"/>
  <c r="O768" i="1"/>
  <c r="O769" i="1" a="1"/>
  <c r="O769" i="1" s="1"/>
  <c r="O770" i="1" a="1"/>
  <c r="O770" i="1" s="1"/>
  <c r="O771" i="1" a="1"/>
  <c r="O771" i="1"/>
  <c r="O772" i="1" a="1"/>
  <c r="O772" i="1" s="1"/>
  <c r="O773" i="1" a="1"/>
  <c r="O773" i="1" s="1"/>
  <c r="O774" i="1" a="1"/>
  <c r="O774" i="1"/>
  <c r="O775" i="1" a="1"/>
  <c r="O775" i="1" s="1"/>
  <c r="O776" i="1" a="1"/>
  <c r="O776" i="1" s="1"/>
  <c r="O777" i="1" a="1"/>
  <c r="O777" i="1"/>
  <c r="O778" i="1" a="1"/>
  <c r="O778" i="1" s="1"/>
  <c r="O779" i="1" a="1"/>
  <c r="O779" i="1" s="1"/>
  <c r="O780" i="1" a="1"/>
  <c r="O780" i="1" s="1"/>
  <c r="O781" i="1" a="1"/>
  <c r="O781" i="1"/>
  <c r="O782" i="1" a="1"/>
  <c r="O782" i="1" s="1"/>
  <c r="O783" i="1" a="1"/>
  <c r="O783" i="1"/>
  <c r="O784" i="1" a="1"/>
  <c r="O784" i="1" s="1"/>
  <c r="O785" i="1" a="1"/>
  <c r="O785" i="1" s="1"/>
  <c r="O786" i="1" a="1"/>
  <c r="O786" i="1"/>
  <c r="O787" i="1" a="1"/>
  <c r="O787" i="1" s="1"/>
  <c r="O788" i="1" a="1"/>
  <c r="O788" i="1" s="1"/>
  <c r="O789" i="1" a="1"/>
  <c r="O789" i="1"/>
  <c r="O790" i="1" a="1"/>
  <c r="O790" i="1" s="1"/>
  <c r="O791" i="1" a="1"/>
  <c r="O791" i="1" s="1"/>
  <c r="O792" i="1" a="1"/>
  <c r="O792" i="1"/>
  <c r="O793" i="1" a="1"/>
  <c r="O793" i="1" s="1"/>
  <c r="O794" i="1" a="1"/>
  <c r="O794" i="1" s="1"/>
  <c r="O795" i="1" a="1"/>
  <c r="O795" i="1"/>
  <c r="O796" i="1" a="1"/>
  <c r="O796" i="1" s="1"/>
  <c r="O797" i="1" a="1"/>
  <c r="O797" i="1" s="1"/>
  <c r="O798" i="1" a="1"/>
  <c r="O798" i="1"/>
  <c r="O799" i="1" a="1"/>
  <c r="O799" i="1" s="1"/>
  <c r="O800" i="1" a="1"/>
  <c r="O800" i="1" s="1"/>
  <c r="O801" i="1" a="1"/>
  <c r="O801" i="1"/>
  <c r="O802" i="1" a="1"/>
  <c r="O802" i="1" s="1"/>
  <c r="O803" i="1" a="1"/>
  <c r="O803" i="1" s="1"/>
  <c r="O804" i="1" a="1"/>
  <c r="O804" i="1" s="1"/>
  <c r="O805" i="1" a="1"/>
  <c r="O805" i="1"/>
  <c r="O806" i="1" a="1"/>
  <c r="O806" i="1" s="1"/>
  <c r="O807" i="1" a="1"/>
  <c r="O807" i="1"/>
  <c r="O808" i="1" a="1"/>
  <c r="O808" i="1" s="1"/>
  <c r="O809" i="1" a="1"/>
  <c r="O809" i="1" s="1"/>
  <c r="O810" i="1" a="1"/>
  <c r="O810" i="1"/>
  <c r="O811" i="1" a="1"/>
  <c r="O811" i="1" s="1"/>
  <c r="O812" i="1" a="1"/>
  <c r="O812" i="1" s="1"/>
  <c r="O813" i="1" a="1"/>
  <c r="O813" i="1"/>
  <c r="O814" i="1" a="1"/>
  <c r="O814" i="1" s="1"/>
  <c r="O815" i="1" a="1"/>
  <c r="O815" i="1" s="1"/>
  <c r="O816" i="1" a="1"/>
  <c r="O816" i="1"/>
  <c r="O817" i="1" a="1"/>
  <c r="O817" i="1" s="1"/>
  <c r="O818" i="1" a="1"/>
  <c r="O818" i="1" s="1"/>
  <c r="O819" i="1" a="1"/>
  <c r="O819" i="1"/>
  <c r="O820" i="1" a="1"/>
  <c r="O820" i="1" s="1"/>
  <c r="O821" i="1" a="1"/>
  <c r="O821" i="1" s="1"/>
  <c r="O822" i="1" a="1"/>
  <c r="O822" i="1"/>
  <c r="O823" i="1" a="1"/>
  <c r="O823" i="1" s="1"/>
  <c r="O824" i="1" a="1"/>
  <c r="O824" i="1" s="1"/>
  <c r="O825" i="1" a="1"/>
  <c r="O825" i="1"/>
  <c r="O826" i="1" a="1"/>
  <c r="O826" i="1"/>
  <c r="O827" i="1" a="1"/>
  <c r="O827" i="1" s="1"/>
  <c r="O828" i="1" a="1"/>
  <c r="O828" i="1" s="1"/>
  <c r="O829" i="1" a="1"/>
  <c r="O829" i="1"/>
  <c r="O830" i="1" a="1"/>
  <c r="O830" i="1" s="1"/>
  <c r="O831" i="1" a="1"/>
  <c r="O831" i="1"/>
  <c r="O832" i="1" a="1"/>
  <c r="O832" i="1" s="1"/>
  <c r="O833" i="1" a="1"/>
  <c r="O833" i="1" s="1"/>
  <c r="O834" i="1" a="1"/>
  <c r="O834" i="1" s="1"/>
  <c r="O835" i="1" a="1"/>
  <c r="O835" i="1" s="1"/>
  <c r="O836" i="1" a="1"/>
  <c r="O836" i="1" s="1"/>
  <c r="O837" i="1" a="1"/>
  <c r="O837" i="1"/>
  <c r="O838" i="1" a="1"/>
  <c r="O838" i="1"/>
  <c r="O839" i="1" a="1"/>
  <c r="O839" i="1" s="1"/>
  <c r="O840" i="1" a="1"/>
  <c r="O840" i="1"/>
  <c r="O841" i="1" a="1"/>
  <c r="O841" i="1" s="1"/>
  <c r="O842" i="1" a="1"/>
  <c r="O842" i="1" s="1"/>
  <c r="O843" i="1" a="1"/>
  <c r="O843" i="1"/>
  <c r="O844" i="1" a="1"/>
  <c r="O844" i="1"/>
  <c r="O845" i="1" a="1"/>
  <c r="O845" i="1" s="1"/>
  <c r="O846" i="1" a="1"/>
  <c r="O846" i="1" s="1"/>
  <c r="O847" i="1" a="1"/>
  <c r="O847" i="1"/>
  <c r="O848" i="1" a="1"/>
  <c r="O848" i="1" s="1"/>
  <c r="O849" i="1" a="1"/>
  <c r="O849" i="1"/>
  <c r="O850" i="1" a="1"/>
  <c r="O850" i="1"/>
  <c r="O851" i="1" a="1"/>
  <c r="O851" i="1" s="1"/>
  <c r="O852" i="1" a="1"/>
  <c r="O852" i="1" s="1"/>
  <c r="O853" i="1" a="1"/>
  <c r="O853" i="1" s="1"/>
  <c r="O854" i="1" a="1"/>
  <c r="O854" i="1" s="1"/>
  <c r="O855" i="1" a="1"/>
  <c r="O855" i="1"/>
  <c r="O856" i="1" a="1"/>
  <c r="O856" i="1"/>
  <c r="O857" i="1" a="1"/>
  <c r="O857" i="1" s="1"/>
  <c r="O858" i="1" a="1"/>
  <c r="O858" i="1"/>
  <c r="O859" i="1" a="1"/>
  <c r="O859" i="1" s="1"/>
  <c r="O860" i="1" a="1"/>
  <c r="O860" i="1" s="1"/>
  <c r="O861" i="1" a="1"/>
  <c r="O861" i="1"/>
  <c r="O862" i="1" a="1"/>
  <c r="O862" i="1"/>
  <c r="O863" i="1" a="1"/>
  <c r="O863" i="1" s="1"/>
  <c r="O864" i="1" a="1"/>
  <c r="O864" i="1" s="1"/>
  <c r="O865" i="1" a="1"/>
  <c r="O865" i="1"/>
  <c r="O866" i="1" a="1"/>
  <c r="O866" i="1" s="1"/>
  <c r="O867" i="1" a="1"/>
  <c r="O867" i="1"/>
  <c r="O868" i="1" a="1"/>
  <c r="O868" i="1" s="1"/>
  <c r="O869" i="1" a="1"/>
  <c r="O869" i="1" s="1"/>
  <c r="O870" i="1" a="1"/>
  <c r="O870" i="1" s="1"/>
  <c r="O871" i="1" a="1"/>
  <c r="O871" i="1" s="1"/>
  <c r="O872" i="1" a="1"/>
  <c r="O872" i="1" s="1"/>
  <c r="O873" i="1" a="1"/>
  <c r="O873" i="1"/>
  <c r="O874" i="1" a="1"/>
  <c r="O874" i="1"/>
  <c r="O875" i="1" a="1"/>
  <c r="O875" i="1" s="1"/>
  <c r="O876" i="1" a="1"/>
  <c r="O876" i="1"/>
  <c r="O877" i="1" a="1"/>
  <c r="O877" i="1" s="1"/>
  <c r="O878" i="1" a="1"/>
  <c r="O878" i="1" s="1"/>
  <c r="O879" i="1" a="1"/>
  <c r="O879" i="1"/>
  <c r="O880" i="1" a="1"/>
  <c r="O880" i="1" s="1"/>
  <c r="O881" i="1" a="1"/>
  <c r="O881" i="1" s="1"/>
  <c r="O882" i="1" a="1"/>
  <c r="O882" i="1" s="1"/>
  <c r="O883" i="1" a="1"/>
  <c r="O883" i="1"/>
  <c r="O884" i="1" a="1"/>
  <c r="O884" i="1" s="1"/>
  <c r="O885" i="1" a="1"/>
  <c r="O885" i="1"/>
  <c r="O886" i="1" a="1"/>
  <c r="O886" i="1"/>
  <c r="O887" i="1" a="1"/>
  <c r="O887" i="1" s="1"/>
  <c r="O888" i="1" a="1"/>
  <c r="O888" i="1" s="1"/>
  <c r="O889" i="1" a="1"/>
  <c r="O889" i="1" s="1"/>
  <c r="O890" i="1" a="1"/>
  <c r="O890" i="1" s="1"/>
  <c r="O891" i="1" a="1"/>
  <c r="O891" i="1"/>
  <c r="O892" i="1" a="1"/>
  <c r="O892" i="1"/>
  <c r="O893" i="1" a="1"/>
  <c r="O893" i="1" s="1"/>
  <c r="O894" i="1" a="1"/>
  <c r="O894" i="1"/>
  <c r="O895" i="1" a="1"/>
  <c r="O895" i="1" s="1"/>
  <c r="O896" i="1" a="1"/>
  <c r="O896" i="1" s="1"/>
  <c r="O897" i="1" a="1"/>
  <c r="O897" i="1" s="1"/>
  <c r="O898" i="1" a="1"/>
  <c r="O898" i="1"/>
  <c r="O899" i="1" a="1"/>
  <c r="O899" i="1" s="1"/>
  <c r="O900" i="1" a="1"/>
  <c r="O900" i="1" s="1"/>
  <c r="O901" i="1" a="1"/>
  <c r="O901" i="1"/>
  <c r="O902" i="1" a="1"/>
  <c r="O902" i="1" s="1"/>
  <c r="O903" i="1" a="1"/>
  <c r="O903" i="1"/>
  <c r="O904" i="1" a="1"/>
  <c r="O904" i="1" s="1"/>
  <c r="O905" i="1" a="1"/>
  <c r="O905" i="1" s="1"/>
  <c r="O906" i="1" a="1"/>
  <c r="O906" i="1" s="1"/>
  <c r="O907" i="1" a="1"/>
  <c r="O907" i="1" s="1"/>
  <c r="O908" i="1" a="1"/>
  <c r="O908" i="1" s="1"/>
  <c r="O909" i="1" a="1"/>
  <c r="O909" i="1"/>
  <c r="O910" i="1" a="1"/>
  <c r="O910" i="1"/>
  <c r="O911" i="1" a="1"/>
  <c r="O911" i="1" s="1"/>
  <c r="O912" i="1" a="1"/>
  <c r="O912" i="1"/>
  <c r="O913" i="1" a="1"/>
  <c r="O913" i="1" s="1"/>
  <c r="O914" i="1" a="1"/>
  <c r="O914" i="1" s="1"/>
  <c r="O915" i="1" a="1"/>
  <c r="O915" i="1"/>
  <c r="O916" i="1" a="1"/>
  <c r="O916" i="1"/>
  <c r="O917" i="1" a="1"/>
  <c r="O917" i="1" s="1"/>
  <c r="O918" i="1" a="1"/>
  <c r="O918" i="1" s="1"/>
  <c r="O919" i="1" a="1"/>
  <c r="O919" i="1"/>
  <c r="O920" i="1" a="1"/>
  <c r="O920" i="1" s="1"/>
  <c r="O921" i="1" a="1"/>
  <c r="O921" i="1"/>
  <c r="O922" i="1" a="1"/>
  <c r="O922" i="1"/>
  <c r="O923" i="1" a="1"/>
  <c r="O923" i="1" s="1"/>
  <c r="O924" i="1" a="1"/>
  <c r="O924" i="1" s="1"/>
  <c r="O925" i="1" a="1"/>
  <c r="O925" i="1" s="1"/>
  <c r="O926" i="1" a="1"/>
  <c r="O926" i="1" s="1"/>
  <c r="O927" i="1" a="1"/>
  <c r="O927" i="1"/>
  <c r="O928" i="1" a="1"/>
  <c r="O928" i="1"/>
  <c r="O929" i="1" a="1"/>
  <c r="O929" i="1" s="1"/>
  <c r="O930" i="1" a="1"/>
  <c r="O930" i="1"/>
  <c r="O931" i="1" a="1"/>
  <c r="O931" i="1" s="1"/>
  <c r="O932" i="1" a="1"/>
  <c r="O932" i="1" s="1"/>
  <c r="O933" i="1" a="1"/>
  <c r="O933" i="1" s="1"/>
  <c r="O934" i="1" a="1"/>
  <c r="O934" i="1"/>
  <c r="O935" i="1" a="1"/>
  <c r="O935" i="1" s="1"/>
  <c r="O936" i="1" a="1"/>
  <c r="O936" i="1" s="1"/>
  <c r="O937" i="1" a="1"/>
  <c r="O937" i="1"/>
  <c r="O938" i="1" a="1"/>
  <c r="O938" i="1" s="1"/>
  <c r="O939" i="1" a="1"/>
  <c r="O939" i="1"/>
  <c r="O940" i="1" a="1"/>
  <c r="O940" i="1" s="1"/>
  <c r="O941" i="1" a="1"/>
  <c r="O941" i="1" s="1"/>
  <c r="O942" i="1" a="1"/>
  <c r="O942" i="1" s="1"/>
  <c r="O943" i="1" a="1"/>
  <c r="O943" i="1" s="1"/>
  <c r="O944" i="1" a="1"/>
  <c r="O944" i="1" s="1"/>
  <c r="O945" i="1" a="1"/>
  <c r="O945" i="1" s="1"/>
  <c r="O946" i="1" a="1"/>
  <c r="O946" i="1"/>
  <c r="O947" i="1" a="1"/>
  <c r="O947" i="1" s="1"/>
  <c r="O948" i="1" a="1"/>
  <c r="O948" i="1"/>
  <c r="O949" i="1" a="1"/>
  <c r="O949" i="1" s="1"/>
  <c r="O950" i="1" a="1"/>
  <c r="O950" i="1" s="1"/>
  <c r="O951" i="1" a="1"/>
  <c r="O951" i="1"/>
  <c r="O952" i="1" a="1"/>
  <c r="O952" i="1" s="1"/>
  <c r="O953" i="1" a="1"/>
  <c r="O953" i="1" s="1"/>
  <c r="O954" i="1" a="1"/>
  <c r="O954" i="1" s="1"/>
  <c r="O955" i="1" a="1"/>
  <c r="O955" i="1"/>
  <c r="O956" i="1" a="1"/>
  <c r="O956" i="1" s="1"/>
  <c r="O957" i="1" a="1"/>
  <c r="O957" i="1"/>
  <c r="O958" i="1" a="1"/>
  <c r="O958" i="1"/>
  <c r="O959" i="1" a="1"/>
  <c r="O959" i="1" s="1"/>
  <c r="O960" i="1" a="1"/>
  <c r="O960" i="1" s="1"/>
  <c r="O961" i="1" a="1"/>
  <c r="O961" i="1" s="1"/>
  <c r="O962" i="1" a="1"/>
  <c r="O962" i="1" s="1"/>
  <c r="O963" i="1" a="1"/>
  <c r="O963" i="1"/>
  <c r="O964" i="1" a="1"/>
  <c r="O964" i="1"/>
  <c r="O965" i="1" a="1"/>
  <c r="O965" i="1" s="1"/>
  <c r="O966" i="1" a="1"/>
  <c r="O966" i="1"/>
  <c r="O967" i="1" a="1"/>
  <c r="O967" i="1" s="1"/>
  <c r="O968" i="1" a="1"/>
  <c r="O968" i="1" s="1"/>
  <c r="O969" i="1" a="1"/>
  <c r="O969" i="1" s="1"/>
  <c r="O970" i="1" a="1"/>
  <c r="O970" i="1"/>
  <c r="O971" i="1" a="1"/>
  <c r="O971" i="1" s="1"/>
  <c r="O972" i="1" a="1"/>
  <c r="O972" i="1" s="1"/>
  <c r="O973" i="1" a="1"/>
  <c r="O973" i="1"/>
  <c r="O974" i="1" a="1"/>
  <c r="O974" i="1" s="1"/>
  <c r="O975" i="1" a="1"/>
  <c r="O975" i="1"/>
  <c r="O976" i="1" a="1"/>
  <c r="O976" i="1" s="1"/>
  <c r="O977" i="1" a="1"/>
  <c r="O977" i="1" s="1"/>
  <c r="O978" i="1" a="1"/>
  <c r="O978" i="1" s="1"/>
  <c r="O979" i="1" a="1"/>
  <c r="O979" i="1" s="1"/>
  <c r="O980" i="1" a="1"/>
  <c r="O980" i="1" s="1"/>
  <c r="O981" i="1" a="1"/>
  <c r="O981" i="1"/>
  <c r="O982" i="1" a="1"/>
  <c r="O982" i="1"/>
  <c r="O983" i="1" a="1"/>
  <c r="O983" i="1" s="1"/>
  <c r="O984" i="1" a="1"/>
  <c r="O984" i="1"/>
  <c r="O985" i="1" a="1"/>
  <c r="O985" i="1" s="1"/>
  <c r="O986" i="1" a="1"/>
  <c r="O986" i="1" s="1"/>
  <c r="O987" i="1" a="1"/>
  <c r="O987" i="1"/>
  <c r="O988" i="1" a="1"/>
  <c r="O988" i="1" s="1"/>
  <c r="O989" i="1" a="1"/>
  <c r="O989" i="1" s="1"/>
  <c r="O990" i="1" a="1"/>
  <c r="O990" i="1" s="1"/>
  <c r="O991" i="1" a="1"/>
  <c r="O991" i="1"/>
  <c r="O992" i="1" a="1"/>
  <c r="O992" i="1" s="1"/>
  <c r="O993" i="1" a="1"/>
  <c r="O993" i="1"/>
  <c r="O994" i="1" a="1"/>
  <c r="O994" i="1"/>
  <c r="O995" i="1" a="1"/>
  <c r="O995" i="1" s="1"/>
  <c r="O996" i="1" a="1"/>
  <c r="O996" i="1" s="1"/>
  <c r="O997" i="1" a="1"/>
  <c r="O997" i="1" s="1"/>
  <c r="O998" i="1" a="1"/>
  <c r="O998" i="1" s="1"/>
  <c r="O999" i="1" a="1"/>
  <c r="O999" i="1"/>
  <c r="O1000" i="1" a="1"/>
  <c r="O1000" i="1"/>
  <c r="O1001" i="1" a="1"/>
  <c r="O1001" i="1" s="1"/>
  <c r="O1002" i="1" a="1"/>
  <c r="O1002" i="1"/>
  <c r="O1003" i="1" a="1"/>
  <c r="O1003" i="1" s="1"/>
  <c r="O1004" i="1" a="1"/>
  <c r="O1004" i="1" s="1"/>
  <c r="O1005" i="1" a="1"/>
  <c r="O1005" i="1" s="1"/>
  <c r="O1006" i="1" a="1"/>
  <c r="O1006" i="1"/>
  <c r="O1007" i="1" a="1"/>
  <c r="O1007" i="1" s="1"/>
  <c r="O1008" i="1" a="1"/>
  <c r="O1008" i="1" s="1"/>
  <c r="O1009" i="1" a="1"/>
  <c r="O1009" i="1"/>
  <c r="O1010" i="1" a="1"/>
  <c r="O1010" i="1" s="1"/>
  <c r="O1011" i="1" a="1"/>
  <c r="O1011" i="1"/>
  <c r="O1012" i="1" a="1"/>
  <c r="O1012" i="1" s="1"/>
  <c r="O1013" i="1" a="1"/>
  <c r="O1013" i="1" s="1"/>
  <c r="O1014" i="1" a="1"/>
  <c r="O1014" i="1" s="1"/>
  <c r="O1015" i="1" a="1"/>
  <c r="O1015" i="1" s="1"/>
  <c r="O1016" i="1" a="1"/>
  <c r="O1016" i="1" s="1"/>
  <c r="O1017" i="1" a="1"/>
  <c r="O1017" i="1" s="1"/>
  <c r="O1018" i="1" a="1"/>
  <c r="O1018" i="1"/>
  <c r="O1019" i="1" a="1"/>
  <c r="O1019" i="1" s="1"/>
  <c r="O1020" i="1" a="1"/>
  <c r="O1020" i="1"/>
  <c r="O1021" i="1" a="1"/>
  <c r="O1021" i="1" s="1"/>
  <c r="O1022" i="1" a="1"/>
  <c r="O1022" i="1" s="1"/>
  <c r="O1023" i="1" a="1"/>
  <c r="O1023" i="1"/>
  <c r="O1024" i="1" a="1"/>
  <c r="O1024" i="1"/>
  <c r="O1025" i="1" a="1"/>
  <c r="O1025" i="1" s="1"/>
  <c r="O1026" i="1" a="1"/>
  <c r="O1026" i="1" s="1"/>
  <c r="O1027" i="1" a="1"/>
  <c r="O1027" i="1"/>
  <c r="O1028" i="1" a="1"/>
  <c r="O1028" i="1" s="1"/>
  <c r="O1029" i="1" a="1"/>
  <c r="O1029" i="1"/>
  <c r="O1030" i="1" a="1"/>
  <c r="O1030" i="1"/>
  <c r="O1031" i="1" a="1"/>
  <c r="O1031" i="1" s="1"/>
  <c r="O1032" i="1" a="1"/>
  <c r="O1032" i="1" s="1"/>
  <c r="O1033" i="1" a="1"/>
  <c r="O1033" i="1" s="1"/>
  <c r="O1034" i="1" a="1"/>
  <c r="O1034" i="1" s="1"/>
  <c r="O1035" i="1" a="1"/>
  <c r="O1035" i="1"/>
  <c r="O1036" i="1" a="1"/>
  <c r="O1036" i="1"/>
  <c r="O1037" i="1" a="1"/>
  <c r="O1037" i="1" s="1"/>
  <c r="O1038" i="1" a="1"/>
  <c r="O1038" i="1"/>
  <c r="O1039" i="1" a="1"/>
  <c r="O1039" i="1" s="1"/>
  <c r="O1040" i="1" a="1"/>
  <c r="O1040" i="1" s="1"/>
  <c r="O1041" i="1" a="1"/>
  <c r="O1041" i="1" s="1"/>
  <c r="O1042" i="1" a="1"/>
  <c r="O1042" i="1"/>
  <c r="O1043" i="1" a="1"/>
  <c r="O1043" i="1" s="1"/>
  <c r="O1044" i="1" a="1"/>
  <c r="O1044" i="1" s="1"/>
  <c r="O1045" i="1" a="1"/>
  <c r="O1045" i="1"/>
  <c r="O1046" i="1" a="1"/>
  <c r="O1046" i="1" s="1"/>
  <c r="O1047" i="1" a="1"/>
  <c r="O1047" i="1"/>
  <c r="O1048" i="1" a="1"/>
  <c r="O1048" i="1" s="1"/>
  <c r="O1049" i="1" a="1"/>
  <c r="O1049" i="1" s="1"/>
  <c r="O1050" i="1" a="1"/>
  <c r="O1050" i="1" s="1"/>
  <c r="O1051" i="1" a="1"/>
  <c r="O1051" i="1" s="1"/>
  <c r="O1052" i="1" a="1"/>
  <c r="O1052" i="1" s="1"/>
  <c r="O1053" i="1" a="1"/>
  <c r="O1053" i="1" s="1"/>
  <c r="O1054" i="1" a="1"/>
  <c r="O1054" i="1"/>
  <c r="O1055" i="1" a="1"/>
  <c r="O1055" i="1" s="1"/>
  <c r="O1056" i="1" a="1"/>
  <c r="O1056" i="1"/>
  <c r="O1057" i="1" a="1"/>
  <c r="O1057" i="1" s="1"/>
  <c r="O1058" i="1" a="1"/>
  <c r="O1058" i="1" s="1"/>
  <c r="O1059" i="1" a="1"/>
  <c r="O1059" i="1"/>
  <c r="O1060" i="1" a="1"/>
  <c r="O1060" i="1"/>
  <c r="O1061" i="1" a="1"/>
  <c r="O1061" i="1" s="1"/>
  <c r="O1062" i="1" a="1"/>
  <c r="O1062" i="1" s="1"/>
  <c r="O1063" i="1" a="1"/>
  <c r="O1063" i="1"/>
  <c r="O1064" i="1" a="1"/>
  <c r="O1064" i="1" s="1"/>
  <c r="O1065" i="1" a="1"/>
  <c r="O1065" i="1"/>
  <c r="O1066" i="1" a="1"/>
  <c r="O1066" i="1"/>
  <c r="O1067" i="1" a="1"/>
  <c r="O1067" i="1" s="1"/>
  <c r="O1068" i="1" a="1"/>
  <c r="O1068" i="1" s="1"/>
  <c r="O1069" i="1" a="1"/>
  <c r="O1069" i="1" s="1"/>
  <c r="O1070" i="1" a="1"/>
  <c r="O1070" i="1" s="1"/>
  <c r="O1071" i="1" a="1"/>
  <c r="O1071" i="1"/>
  <c r="O1072" i="1" a="1"/>
  <c r="O1072" i="1"/>
  <c r="O1073" i="1" a="1"/>
  <c r="O1073" i="1" s="1"/>
  <c r="O1074" i="1" a="1"/>
  <c r="O1074" i="1"/>
  <c r="O1075" i="1" a="1"/>
  <c r="O1075" i="1" s="1"/>
  <c r="O1076" i="1" a="1"/>
  <c r="O1076" i="1" s="1"/>
  <c r="O1077" i="1" a="1"/>
  <c r="O1077" i="1" s="1"/>
  <c r="O1078" i="1" a="1"/>
  <c r="O1078" i="1"/>
  <c r="O1079" i="1" a="1"/>
  <c r="O1079" i="1" s="1"/>
  <c r="O1080" i="1" a="1"/>
  <c r="O1080" i="1" s="1"/>
  <c r="O1081" i="1" a="1"/>
  <c r="O1081" i="1"/>
  <c r="O1082" i="1" a="1"/>
  <c r="O1082" i="1" s="1"/>
  <c r="O1083" i="1" a="1"/>
  <c r="O1083" i="1"/>
  <c r="O1084" i="1" a="1"/>
  <c r="O1084" i="1" s="1"/>
  <c r="O1085" i="1" a="1"/>
  <c r="O1085" i="1" s="1"/>
  <c r="O1086" i="1" a="1"/>
  <c r="O1086" i="1" s="1"/>
  <c r="O1087" i="1" a="1"/>
  <c r="O1087" i="1" s="1"/>
  <c r="O1088" i="1" a="1"/>
  <c r="O1088" i="1" s="1"/>
  <c r="O1089" i="1" a="1"/>
  <c r="O1089" i="1"/>
  <c r="O1090" i="1" a="1"/>
  <c r="O1090" i="1"/>
  <c r="O1091" i="1" a="1"/>
  <c r="O1091" i="1" s="1"/>
  <c r="O1092" i="1" a="1"/>
  <c r="O1092" i="1"/>
  <c r="O1093" i="1" a="1"/>
  <c r="O1093" i="1" s="1"/>
  <c r="O1094" i="1" a="1"/>
  <c r="O1094" i="1" s="1"/>
  <c r="O1095" i="1" a="1"/>
  <c r="O1095" i="1"/>
  <c r="O1096" i="1" a="1"/>
  <c r="O1096" i="1" s="1"/>
  <c r="O1097" i="1" a="1"/>
  <c r="O1097" i="1" s="1"/>
  <c r="O1098" i="1" a="1"/>
  <c r="O1098" i="1" s="1"/>
  <c r="O1099" i="1" a="1"/>
  <c r="O1099" i="1"/>
  <c r="O1100" i="1" a="1"/>
  <c r="O1100" i="1" s="1"/>
  <c r="O1101" i="1" a="1"/>
  <c r="O1101" i="1"/>
  <c r="O1102" i="1" a="1"/>
  <c r="O1102" i="1"/>
  <c r="O1103" i="1" a="1"/>
  <c r="O1103" i="1" s="1"/>
  <c r="O1104" i="1" a="1"/>
  <c r="O1104" i="1" s="1"/>
  <c r="O1105" i="1" a="1"/>
  <c r="O1105" i="1" s="1"/>
  <c r="O1106" i="1" a="1"/>
  <c r="O1106" i="1" s="1"/>
  <c r="O1107" i="1" a="1"/>
  <c r="O1107" i="1"/>
  <c r="O1108" i="1" a="1"/>
  <c r="O1108" i="1" s="1"/>
  <c r="O1109" i="1" a="1"/>
  <c r="O1109" i="1" s="1"/>
  <c r="O1110" i="1" a="1"/>
  <c r="O1110" i="1" s="1"/>
  <c r="O1111" i="1" a="1"/>
  <c r="O1111" i="1" s="1"/>
  <c r="O1112" i="1" a="1"/>
  <c r="O1112" i="1" s="1"/>
  <c r="O1113" i="1" a="1"/>
  <c r="O1113" i="1" s="1"/>
  <c r="O1114" i="1" a="1"/>
  <c r="O1114" i="1"/>
  <c r="O1115" i="1" a="1"/>
  <c r="O1115" i="1" s="1"/>
  <c r="O1116" i="1" a="1"/>
  <c r="O1116" i="1" s="1"/>
  <c r="O1117" i="1" a="1"/>
  <c r="O1117" i="1" s="1"/>
  <c r="O1118" i="1" a="1"/>
  <c r="O1118" i="1" s="1"/>
  <c r="O1119" i="1" a="1"/>
  <c r="O1119" i="1"/>
  <c r="O1120" i="1" a="1"/>
  <c r="O1120" i="1" s="1"/>
  <c r="O1121" i="1" a="1"/>
  <c r="O1121" i="1" s="1"/>
  <c r="O1122" i="1" a="1"/>
  <c r="O1122" i="1" s="1"/>
  <c r="O1123" i="1" a="1"/>
  <c r="O1123" i="1" s="1"/>
  <c r="O1124" i="1" a="1"/>
  <c r="O1124" i="1" s="1"/>
  <c r="O1125" i="1" a="1"/>
  <c r="O1125" i="1"/>
  <c r="O1126" i="1" a="1"/>
  <c r="O1126" i="1"/>
  <c r="O1127" i="1" a="1"/>
  <c r="O1127" i="1" s="1"/>
  <c r="O1128" i="1" a="1"/>
  <c r="O1128" i="1"/>
  <c r="O1129" i="1" a="1"/>
  <c r="O1129" i="1" s="1"/>
  <c r="O1130" i="1" a="1"/>
  <c r="O1130" i="1" s="1"/>
  <c r="O1131" i="1" a="1"/>
  <c r="O1131" i="1"/>
  <c r="O1132" i="1" a="1"/>
  <c r="O1132" i="1" s="1"/>
  <c r="O1133" i="1" a="1"/>
  <c r="O1133" i="1" s="1"/>
  <c r="O1134" i="1" a="1"/>
  <c r="O1134" i="1" s="1"/>
  <c r="O1135" i="1" a="1"/>
  <c r="O1135" i="1"/>
  <c r="O1136" i="1" a="1"/>
  <c r="O1136" i="1" s="1"/>
  <c r="O1137" i="1" a="1"/>
  <c r="O1137" i="1"/>
  <c r="O1138" i="1" a="1"/>
  <c r="O1138" i="1"/>
  <c r="O1139" i="1" a="1"/>
  <c r="O1139" i="1" s="1"/>
  <c r="O1140" i="1" a="1"/>
  <c r="O1140" i="1"/>
  <c r="O1141" i="1" a="1"/>
  <c r="O1141" i="1" s="1"/>
  <c r="O1142" i="1" a="1"/>
  <c r="O1142" i="1" s="1"/>
  <c r="O1143" i="1" a="1"/>
  <c r="O1143" i="1" s="1"/>
  <c r="O1144" i="1" a="1"/>
  <c r="O1144" i="1" s="1"/>
  <c r="O1145" i="1" a="1"/>
  <c r="O1145" i="1"/>
  <c r="O1146" i="1" a="1"/>
  <c r="O1146" i="1" s="1"/>
  <c r="O1147" i="1" a="1"/>
  <c r="O1147" i="1" s="1"/>
  <c r="O1148" i="1" a="1"/>
  <c r="O1148" i="1" s="1"/>
  <c r="O1149" i="1" a="1"/>
  <c r="O1149" i="1"/>
  <c r="O1150" i="1" a="1"/>
  <c r="O1150" i="1"/>
  <c r="O1151" i="1" a="1"/>
  <c r="O1151" i="1"/>
  <c r="O1152" i="1" a="1"/>
  <c r="O1152" i="1" s="1"/>
  <c r="O1153" i="1" a="1"/>
  <c r="O1153" i="1"/>
  <c r="O1154" i="1" a="1"/>
  <c r="O1154" i="1" s="1"/>
  <c r="O1155" i="1" a="1"/>
  <c r="O1155" i="1"/>
  <c r="O1156" i="1" a="1"/>
  <c r="O1156" i="1" s="1"/>
  <c r="O1157" i="1" a="1"/>
  <c r="O1157" i="1" s="1"/>
  <c r="O1158" i="1" a="1"/>
  <c r="O1158" i="1" s="1"/>
  <c r="O1159" i="1" a="1"/>
  <c r="O1159" i="1" s="1"/>
  <c r="O1160" i="1" a="1"/>
  <c r="O1160" i="1" s="1"/>
  <c r="O1161" i="1" a="1"/>
  <c r="O1161" i="1" s="1"/>
  <c r="O1162" i="1" a="1"/>
  <c r="O1162" i="1"/>
  <c r="O1163" i="1" a="1"/>
  <c r="O1163" i="1"/>
  <c r="O1164" i="1" a="1"/>
  <c r="O1164" i="1"/>
  <c r="O1165" i="1" a="1"/>
  <c r="O1165" i="1"/>
  <c r="O1166" i="1" a="1"/>
  <c r="O1166" i="1"/>
  <c r="O1167" i="1" a="1"/>
  <c r="O1167" i="1" s="1"/>
  <c r="O1168" i="1" a="1"/>
  <c r="O1168" i="1"/>
  <c r="O1169" i="1" a="1"/>
  <c r="O1169" i="1" s="1"/>
  <c r="O1170" i="1" a="1"/>
  <c r="O1170" i="1"/>
  <c r="O1171" i="1" a="1"/>
  <c r="O1171" i="1" s="1"/>
  <c r="O1172" i="1" a="1"/>
  <c r="O1172" i="1"/>
  <c r="O1173" i="1" a="1"/>
  <c r="O1173" i="1" s="1"/>
  <c r="O1174" i="1" a="1"/>
  <c r="O1174" i="1"/>
  <c r="O1175" i="1" a="1"/>
  <c r="O1175" i="1" s="1"/>
  <c r="O1176" i="1" a="1"/>
  <c r="O1176" i="1"/>
  <c r="O1177" i="1" a="1"/>
  <c r="O1177" i="1" s="1"/>
  <c r="O1178" i="1" a="1"/>
  <c r="O1178" i="1" s="1"/>
  <c r="O1179" i="1" a="1"/>
  <c r="O1179" i="1" s="1"/>
  <c r="O1180" i="1" a="1"/>
  <c r="O1180" i="1"/>
  <c r="O1181" i="1" a="1"/>
  <c r="O1181" i="1" s="1"/>
  <c r="O1182" i="1" a="1"/>
  <c r="O1182" i="1"/>
  <c r="O1183" i="1" a="1"/>
  <c r="O1183" i="1" s="1"/>
  <c r="O1184" i="1" a="1"/>
  <c r="O1184" i="1" s="1"/>
  <c r="O1185" i="1" a="1"/>
  <c r="O1185" i="1" s="1"/>
  <c r="O1186" i="1" a="1"/>
  <c r="O1186" i="1"/>
  <c r="O1187" i="1" a="1"/>
  <c r="O1187" i="1" s="1"/>
  <c r="O1188" i="1" a="1"/>
  <c r="O1188" i="1"/>
  <c r="O1189" i="1" a="1"/>
  <c r="O1189" i="1" s="1"/>
  <c r="O1190" i="1" a="1"/>
  <c r="O1190" i="1" s="1"/>
  <c r="O1191" i="1" a="1"/>
  <c r="O1191" i="1" s="1"/>
  <c r="O1192" i="1" a="1"/>
  <c r="O1192" i="1"/>
  <c r="O1193" i="1" a="1"/>
  <c r="O1193" i="1" s="1"/>
  <c r="O1194" i="1" a="1"/>
  <c r="O1194" i="1"/>
  <c r="O1195" i="1" a="1"/>
  <c r="O1195" i="1" s="1"/>
  <c r="O1196" i="1" a="1"/>
  <c r="O1196" i="1" s="1"/>
  <c r="O1197" i="1" a="1"/>
  <c r="O1197" i="1" s="1"/>
  <c r="O1198" i="1" a="1"/>
  <c r="O1198" i="1"/>
  <c r="O1199" i="1" a="1"/>
  <c r="O1199" i="1" s="1"/>
  <c r="O1200" i="1" a="1"/>
  <c r="O1200" i="1"/>
  <c r="O1201" i="1" a="1"/>
  <c r="O1201" i="1"/>
  <c r="O1202" i="1" a="1"/>
  <c r="O1202" i="1" s="1"/>
  <c r="O1203" i="1" a="1"/>
  <c r="O1203" i="1" s="1"/>
  <c r="O1204" i="1" a="1"/>
  <c r="O1204" i="1"/>
  <c r="O1205" i="1" a="1"/>
  <c r="O1205" i="1" s="1"/>
  <c r="O1206" i="1" a="1"/>
  <c r="O1206" i="1"/>
  <c r="O1207" i="1" a="1"/>
  <c r="O1207" i="1" s="1"/>
  <c r="O1208" i="1" a="1"/>
  <c r="O1208" i="1"/>
  <c r="O1209" i="1" a="1"/>
  <c r="O1209" i="1" s="1"/>
  <c r="O1210" i="1" a="1"/>
  <c r="O1210" i="1"/>
  <c r="O1211" i="1" a="1"/>
  <c r="O1211" i="1" s="1"/>
  <c r="O1212" i="1" a="1"/>
  <c r="O1212" i="1"/>
  <c r="O1213" i="1" a="1"/>
  <c r="O1213" i="1" s="1"/>
  <c r="O1214" i="1" a="1"/>
  <c r="O1214" i="1" s="1"/>
  <c r="O1215" i="1" a="1"/>
  <c r="O1215" i="1" s="1"/>
  <c r="O1216" i="1" a="1"/>
  <c r="O1216" i="1"/>
  <c r="O1217" i="1" a="1"/>
  <c r="O1217" i="1" s="1"/>
  <c r="O1218" i="1" a="1"/>
  <c r="O1218" i="1"/>
  <c r="O1219" i="1" a="1"/>
  <c r="O1219" i="1" s="1"/>
  <c r="O1220" i="1" a="1"/>
  <c r="O1220" i="1" s="1"/>
  <c r="O1221" i="1" a="1"/>
  <c r="O1221" i="1" s="1"/>
  <c r="O1222" i="1" a="1"/>
  <c r="O1222" i="1"/>
  <c r="O1223" i="1" a="1"/>
  <c r="O1223" i="1" s="1"/>
  <c r="O1224" i="1" a="1"/>
  <c r="O1224" i="1"/>
  <c r="O1225" i="1" a="1"/>
  <c r="O1225" i="1" s="1"/>
  <c r="O1226" i="1" a="1"/>
  <c r="O1226" i="1" s="1"/>
  <c r="O1227" i="1" a="1"/>
  <c r="O1227" i="1" s="1"/>
  <c r="O1228" i="1" a="1"/>
  <c r="O1228" i="1" s="1"/>
  <c r="O1229" i="1" a="1"/>
  <c r="O1229" i="1" s="1"/>
  <c r="O1230" i="1" a="1"/>
  <c r="O1230" i="1"/>
  <c r="O1231" i="1" a="1"/>
  <c r="O1231" i="1" s="1"/>
  <c r="O1232" i="1" a="1"/>
  <c r="O1232" i="1" s="1"/>
  <c r="O1233" i="1" a="1"/>
  <c r="O1233" i="1" s="1"/>
  <c r="O1234" i="1" a="1"/>
  <c r="O1234" i="1"/>
  <c r="O1235" i="1" a="1"/>
  <c r="O1235" i="1" s="1"/>
  <c r="O1236" i="1" a="1"/>
  <c r="O1236" i="1"/>
  <c r="O1237" i="1" a="1"/>
  <c r="O1237" i="1"/>
  <c r="O1238" i="1" a="1"/>
  <c r="O1238" i="1" s="1"/>
  <c r="O1239" i="1" a="1"/>
  <c r="O1239" i="1" s="1"/>
  <c r="O1240" i="1" a="1"/>
  <c r="O1240" i="1"/>
  <c r="O1241" i="1" a="1"/>
  <c r="O1241" i="1" s="1"/>
  <c r="O1242" i="1" a="1"/>
  <c r="O1242" i="1"/>
  <c r="O1243" i="1" a="1"/>
  <c r="O1243" i="1" s="1"/>
  <c r="O1244" i="1" a="1"/>
  <c r="O1244" i="1"/>
  <c r="O1245" i="1" a="1"/>
  <c r="O1245" i="1" s="1"/>
  <c r="O1246" i="1" a="1"/>
  <c r="O1246" i="1" s="1"/>
  <c r="O1247" i="1" a="1"/>
  <c r="O1247" i="1" s="1"/>
  <c r="O1248" i="1" a="1"/>
  <c r="O1248" i="1"/>
  <c r="O1249" i="1" a="1"/>
  <c r="O1249" i="1" s="1"/>
  <c r="O1250" i="1" a="1"/>
  <c r="O1250" i="1" s="1"/>
  <c r="O1251" i="1" a="1"/>
  <c r="O1251" i="1" s="1"/>
  <c r="O1252" i="1" a="1"/>
  <c r="O1252" i="1" s="1"/>
  <c r="O1253" i="1" a="1"/>
  <c r="O1253" i="1" s="1"/>
  <c r="O1254" i="1" a="1"/>
  <c r="O1254" i="1"/>
  <c r="O1255" i="1" a="1"/>
  <c r="O1255" i="1" s="1"/>
  <c r="O1256" i="1" a="1"/>
  <c r="O1256" i="1" s="1"/>
  <c r="O1257" i="1" a="1"/>
  <c r="O1257" i="1" s="1"/>
  <c r="O1258" i="1" a="1"/>
  <c r="O1258" i="1"/>
  <c r="O1259" i="1" a="1"/>
  <c r="O1259" i="1" s="1"/>
  <c r="O1260" i="1" a="1"/>
  <c r="O1260" i="1"/>
  <c r="O1261" i="1" a="1"/>
  <c r="O1261" i="1" s="1"/>
  <c r="O1262" i="1" a="1"/>
  <c r="O1262" i="1" s="1"/>
  <c r="O1263" i="1" a="1"/>
  <c r="O1263" i="1" s="1"/>
  <c r="O1264" i="1" a="1"/>
  <c r="O1264" i="1" s="1"/>
  <c r="O1265" i="1" a="1"/>
  <c r="O1265" i="1" s="1"/>
  <c r="O1266" i="1" a="1"/>
  <c r="O1266" i="1"/>
  <c r="O1267" i="1" a="1"/>
  <c r="O1267" i="1" s="1"/>
  <c r="O1268" i="1" a="1"/>
  <c r="O1268" i="1" s="1"/>
  <c r="O1269" i="1" a="1"/>
  <c r="O1269" i="1" s="1"/>
  <c r="O1270" i="1" a="1"/>
  <c r="O1270" i="1"/>
  <c r="O1271" i="1" a="1"/>
  <c r="O1271" i="1" s="1"/>
  <c r="O1272" i="1" a="1"/>
  <c r="O1272" i="1"/>
  <c r="O1273" i="1" a="1"/>
  <c r="O1273" i="1"/>
  <c r="O1274" i="1" a="1"/>
  <c r="O1274" i="1" s="1"/>
  <c r="O1275" i="1" a="1"/>
  <c r="O1275" i="1" s="1"/>
  <c r="O1276" i="1" a="1"/>
  <c r="O1276" i="1"/>
  <c r="O1277" i="1" a="1"/>
  <c r="O1277" i="1" s="1"/>
  <c r="O1278" i="1" a="1"/>
  <c r="O1278" i="1"/>
  <c r="O1279" i="1" a="1"/>
  <c r="O1279" i="1" s="1"/>
  <c r="O1280" i="1" a="1"/>
  <c r="O1280" i="1"/>
  <c r="O1281" i="1" a="1"/>
  <c r="O1281" i="1" s="1"/>
  <c r="O1282" i="1" a="1"/>
  <c r="O1282" i="1" s="1"/>
  <c r="O1283" i="1" a="1"/>
  <c r="O1283" i="1" s="1"/>
  <c r="O1284" i="1" a="1"/>
  <c r="O1284" i="1"/>
  <c r="O1285" i="1" a="1"/>
  <c r="O1285" i="1" s="1"/>
  <c r="O1286" i="1" a="1"/>
  <c r="O1286" i="1" s="1"/>
  <c r="O1287" i="1" a="1"/>
  <c r="O1287" i="1" s="1"/>
  <c r="O1288" i="1" a="1"/>
  <c r="O1288" i="1" s="1"/>
  <c r="O1289" i="1" a="1"/>
  <c r="O1289" i="1" s="1"/>
  <c r="O1290" i="1" a="1"/>
  <c r="O1290" i="1"/>
  <c r="O1291" i="1" a="1"/>
  <c r="O1291" i="1" s="1"/>
  <c r="O1292" i="1" a="1"/>
  <c r="O1292" i="1" s="1"/>
  <c r="O1293" i="1" a="1"/>
  <c r="O1293" i="1" s="1"/>
  <c r="O1294" i="1" a="1"/>
  <c r="O1294" i="1"/>
  <c r="O1295" i="1" a="1"/>
  <c r="O1295" i="1" s="1"/>
  <c r="O1296" i="1" a="1"/>
  <c r="O1296" i="1" s="1"/>
  <c r="O1297" i="1" a="1"/>
  <c r="O1297" i="1" s="1"/>
  <c r="O1298" i="1" a="1"/>
  <c r="O1298" i="1" s="1"/>
  <c r="O1299" i="1" a="1"/>
  <c r="O1299" i="1" s="1"/>
  <c r="O1300" i="1" a="1"/>
  <c r="O1300" i="1" s="1"/>
  <c r="O1301" i="1" a="1"/>
  <c r="O1301" i="1" s="1"/>
  <c r="O1302" i="1" a="1"/>
  <c r="O1302" i="1"/>
  <c r="O1303" i="1" a="1"/>
  <c r="O1303" i="1" s="1"/>
  <c r="O1304" i="1" a="1"/>
  <c r="O1304" i="1" s="1"/>
  <c r="O1305" i="1" a="1"/>
  <c r="O1305" i="1" s="1"/>
  <c r="O1306" i="1" a="1"/>
  <c r="O1306" i="1"/>
  <c r="O1307" i="1" a="1"/>
  <c r="O1307" i="1" s="1"/>
  <c r="O1308" i="1" a="1"/>
  <c r="O1308" i="1" s="1"/>
  <c r="O1309" i="1" a="1"/>
  <c r="O1309" i="1"/>
  <c r="O1310" i="1" a="1"/>
  <c r="O1310" i="1" s="1"/>
  <c r="O1311" i="1" a="1"/>
  <c r="O1311" i="1" s="1"/>
  <c r="O1312" i="1" a="1"/>
  <c r="O1312" i="1"/>
  <c r="O1313" i="1" a="1"/>
  <c r="O1313" i="1" s="1"/>
  <c r="O1314" i="1" a="1"/>
  <c r="O1314" i="1" s="1"/>
  <c r="O1315" i="1" a="1"/>
  <c r="O1315" i="1" s="1"/>
  <c r="O1316" i="1" a="1"/>
  <c r="O1316" i="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c r="O1331" i="1" a="1"/>
  <c r="O1331" i="1" s="1"/>
  <c r="O1332" i="1" a="1"/>
  <c r="O1332" i="1" s="1"/>
  <c r="O1333" i="1" a="1"/>
  <c r="O1333" i="1" s="1"/>
  <c r="O1334" i="1" a="1"/>
  <c r="O1334" i="1" s="1"/>
  <c r="O1335" i="1" a="1"/>
  <c r="O1335" i="1" s="1"/>
  <c r="O1336" i="1" a="1"/>
  <c r="O1336" i="1" s="1"/>
  <c r="O1337" i="1" a="1"/>
  <c r="O1337" i="1" s="1"/>
  <c r="O1338" i="1" a="1"/>
  <c r="O1338" i="1"/>
  <c r="O1339" i="1" a="1"/>
  <c r="O1339" i="1" s="1"/>
  <c r="O1340" i="1" a="1"/>
  <c r="O1340" i="1" s="1"/>
  <c r="O1341" i="1" a="1"/>
  <c r="O1341" i="1" s="1"/>
  <c r="O1342" i="1" a="1"/>
  <c r="O1342" i="1"/>
  <c r="O1343" i="1" a="1"/>
  <c r="O1343" i="1" s="1"/>
  <c r="O1344" i="1" a="1"/>
  <c r="O1344" i="1" s="1"/>
  <c r="O1345" i="1" a="1"/>
  <c r="O1345" i="1"/>
  <c r="O1346" i="1" a="1"/>
  <c r="O1346" i="1" s="1"/>
  <c r="O1347" i="1" a="1"/>
  <c r="O1347" i="1" s="1"/>
  <c r="O1348" i="1" a="1"/>
  <c r="O1348" i="1"/>
  <c r="O1349" i="1" a="1"/>
  <c r="O1349" i="1" s="1"/>
  <c r="O1350" i="1" a="1"/>
  <c r="O1350" i="1" s="1"/>
  <c r="O1351" i="1" a="1"/>
  <c r="O1351" i="1" s="1"/>
  <c r="O1352" i="1" a="1"/>
  <c r="O1352" i="1"/>
  <c r="O1353" i="1" a="1"/>
  <c r="O1353" i="1" s="1"/>
  <c r="O1354" i="1" a="1"/>
  <c r="O1354" i="1" s="1"/>
  <c r="O1355" i="1" a="1"/>
  <c r="O1355" i="1" s="1"/>
  <c r="O1356" i="1" a="1"/>
  <c r="O1356" i="1" s="1"/>
  <c r="O1357" i="1" a="1"/>
  <c r="O1357" i="1" s="1"/>
  <c r="O1358" i="1" a="1"/>
  <c r="O1358" i="1" s="1"/>
  <c r="O1359" i="1" a="1"/>
  <c r="O1359" i="1" s="1"/>
  <c r="O1360" i="1" a="1"/>
  <c r="O1360" i="1"/>
  <c r="O1361" i="1" a="1"/>
  <c r="O1361" i="1" s="1"/>
  <c r="O1362" i="1" a="1"/>
  <c r="O1362" i="1" s="1"/>
  <c r="O1363" i="1" a="1"/>
  <c r="O1363" i="1" s="1"/>
  <c r="O1364" i="1" a="1"/>
  <c r="O1364" i="1" s="1"/>
  <c r="O1365" i="1" a="1"/>
  <c r="O1365" i="1" s="1"/>
  <c r="O1366" i="1" a="1"/>
  <c r="O1366" i="1"/>
  <c r="O1367" i="1" a="1"/>
  <c r="O1367" i="1" s="1"/>
  <c r="O1368" i="1" a="1"/>
  <c r="O1368" i="1" s="1"/>
  <c r="O1369" i="1" a="1"/>
  <c r="O1369" i="1" s="1"/>
  <c r="O1370" i="1" a="1"/>
  <c r="O1370" i="1" s="1"/>
  <c r="O1371" i="1" a="1"/>
  <c r="O1371" i="1" s="1"/>
  <c r="O1372" i="1" a="1"/>
  <c r="O1372" i="1"/>
  <c r="O1373" i="1" a="1"/>
  <c r="O1373" i="1" s="1"/>
  <c r="O1374" i="1" a="1"/>
  <c r="O1374" i="1"/>
  <c r="O1375" i="1" a="1"/>
  <c r="O1375" i="1" s="1"/>
  <c r="O1376" i="1" a="1"/>
  <c r="O1376" i="1" s="1"/>
  <c r="O1377" i="1" a="1"/>
  <c r="O1377" i="1" s="1"/>
  <c r="O1378" i="1" a="1"/>
  <c r="O1378" i="1"/>
  <c r="O1379" i="1" a="1"/>
  <c r="O1379" i="1" s="1"/>
  <c r="O1380" i="1" a="1"/>
  <c r="O1380" i="1" s="1"/>
  <c r="O1381" i="1" a="1"/>
  <c r="O1381" i="1"/>
  <c r="O1382" i="1" a="1"/>
  <c r="O1382" i="1" s="1"/>
  <c r="O1383" i="1" a="1"/>
  <c r="O1383" i="1" s="1"/>
  <c r="O1384" i="1" a="1"/>
  <c r="O1384" i="1"/>
  <c r="O1385" i="1" a="1"/>
  <c r="O1385" i="1" s="1"/>
  <c r="O1386" i="1" a="1"/>
  <c r="O1386" i="1" s="1"/>
  <c r="O1387" i="1" a="1"/>
  <c r="O1387" i="1" s="1"/>
  <c r="O1388" i="1" a="1"/>
  <c r="O1388" i="1"/>
  <c r="O1389" i="1" a="1"/>
  <c r="O1389" i="1" s="1"/>
  <c r="O1390" i="1" a="1"/>
  <c r="O1390" i="1" s="1"/>
  <c r="O1391" i="1" a="1"/>
  <c r="O1391" i="1" s="1"/>
  <c r="O1392" i="1" a="1"/>
  <c r="O1392" i="1" s="1"/>
  <c r="O1393" i="1" a="1"/>
  <c r="O1393" i="1" s="1"/>
  <c r="O1394" i="1" a="1"/>
  <c r="O1394" i="1" s="1"/>
  <c r="O1395" i="1" a="1"/>
  <c r="O1395" i="1" s="1"/>
  <c r="O1396" i="1" a="1"/>
  <c r="O1396" i="1"/>
  <c r="O1397" i="1" a="1"/>
  <c r="O1397" i="1" s="1"/>
  <c r="O1398" i="1" a="1"/>
  <c r="O1398" i="1" s="1"/>
  <c r="O1399" i="1" a="1"/>
  <c r="O1399" i="1" s="1"/>
  <c r="O1400" i="1" a="1"/>
  <c r="O1400" i="1" s="1"/>
  <c r="O1401" i="1" a="1"/>
  <c r="O1401" i="1" s="1"/>
  <c r="O1402" i="1" a="1"/>
  <c r="O1402" i="1"/>
  <c r="O1403" i="1" a="1"/>
  <c r="O1403" i="1" s="1"/>
  <c r="O1404" i="1" a="1"/>
  <c r="O1404" i="1" s="1"/>
  <c r="O1405" i="1" a="1"/>
  <c r="O1405" i="1" s="1"/>
  <c r="O1406" i="1" a="1"/>
  <c r="O1406" i="1" s="1"/>
  <c r="O1407" i="1" a="1"/>
  <c r="O1407" i="1" s="1"/>
  <c r="O1408" i="1" a="1"/>
  <c r="O1408" i="1"/>
  <c r="O1409" i="1" a="1"/>
  <c r="O1409" i="1" s="1"/>
  <c r="O1410" i="1" a="1"/>
  <c r="O1410" i="1"/>
  <c r="O1411" i="1" a="1"/>
  <c r="O1411" i="1" s="1"/>
  <c r="O1412" i="1" a="1"/>
  <c r="O1412" i="1" s="1"/>
  <c r="O1413" i="1" a="1"/>
  <c r="O1413" i="1" s="1"/>
  <c r="O1414" i="1" a="1"/>
  <c r="O1414" i="1"/>
  <c r="O1415" i="1" a="1"/>
  <c r="O1415" i="1" s="1"/>
  <c r="O1416" i="1" a="1"/>
  <c r="O1416" i="1" s="1"/>
  <c r="O1417" i="1" a="1"/>
  <c r="O1417" i="1"/>
  <c r="O1418" i="1" a="1"/>
  <c r="O1418" i="1" s="1"/>
  <c r="O1419" i="1" a="1"/>
  <c r="O1419" i="1" s="1"/>
  <c r="O1420" i="1" a="1"/>
  <c r="O1420" i="1"/>
  <c r="O1421" i="1" a="1"/>
  <c r="O1421" i="1" s="1"/>
  <c r="O1422" i="1" a="1"/>
  <c r="O1422" i="1" s="1"/>
  <c r="O1423" i="1" a="1"/>
  <c r="O1423" i="1" s="1"/>
  <c r="O1424" i="1" a="1"/>
  <c r="O1424" i="1"/>
  <c r="O1425" i="1" a="1"/>
  <c r="O1425" i="1" s="1"/>
  <c r="O1426" i="1" a="1"/>
  <c r="O1426" i="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c r="O1439" i="1" a="1"/>
  <c r="O1439" i="1" s="1"/>
  <c r="O1440" i="1" a="1"/>
  <c r="O1440" i="1" s="1"/>
  <c r="O1441" i="1" a="1"/>
  <c r="O1441" i="1" s="1"/>
  <c r="O1442" i="1" a="1"/>
  <c r="O1442" i="1" s="1"/>
  <c r="O1443" i="1" a="1"/>
  <c r="O1443" i="1" s="1"/>
  <c r="O1444" i="1" a="1"/>
  <c r="O1444" i="1"/>
  <c r="O1445" i="1" a="1"/>
  <c r="O1445" i="1" s="1"/>
  <c r="O1446" i="1" a="1"/>
  <c r="O1446" i="1"/>
  <c r="O1447" i="1" a="1"/>
  <c r="O1447" i="1" s="1"/>
  <c r="O1448" i="1" a="1"/>
  <c r="O1448" i="1" s="1"/>
  <c r="O1449" i="1" a="1"/>
  <c r="O1449" i="1" s="1"/>
  <c r="O1450" i="1" a="1"/>
  <c r="O1450" i="1"/>
  <c r="O1451" i="1" a="1"/>
  <c r="O1451" i="1" s="1"/>
  <c r="O1452" i="1" a="1"/>
  <c r="O1452" i="1" s="1"/>
  <c r="O1453" i="1" a="1"/>
  <c r="O1453" i="1"/>
  <c r="O1454" i="1" a="1"/>
  <c r="O1454" i="1" s="1"/>
  <c r="O1455" i="1" a="1"/>
  <c r="O1455" i="1" s="1"/>
  <c r="O1456" i="1" a="1"/>
  <c r="O1456" i="1"/>
  <c r="O1457" i="1" a="1"/>
  <c r="O1457" i="1" s="1"/>
  <c r="O1458" i="1" a="1"/>
  <c r="O1458" i="1" s="1"/>
  <c r="O1459" i="1" a="1"/>
  <c r="O1459" i="1" s="1"/>
  <c r="O1460" i="1" a="1"/>
  <c r="O1460" i="1"/>
  <c r="O1461" i="1" a="1"/>
  <c r="O1461" i="1" s="1"/>
  <c r="O1462" i="1" a="1"/>
  <c r="O1462" i="1"/>
  <c r="O1463" i="1" a="1"/>
  <c r="O1463" i="1" s="1"/>
  <c r="O1464" i="1" a="1"/>
  <c r="O1464" i="1" s="1"/>
  <c r="O1465" i="1" a="1"/>
  <c r="O1465" i="1" s="1"/>
  <c r="O1466" i="1" a="1"/>
  <c r="O1466" i="1" s="1"/>
  <c r="O1467" i="1" a="1"/>
  <c r="O1467" i="1" s="1"/>
  <c r="O1468" i="1" a="1"/>
  <c r="O1468" i="1"/>
  <c r="O1469" i="1" a="1"/>
  <c r="O1469" i="1" s="1"/>
  <c r="O1470" i="1" a="1"/>
  <c r="O1470" i="1" s="1"/>
  <c r="O1471" i="1" a="1"/>
  <c r="O1471" i="1" s="1"/>
  <c r="O1472" i="1" a="1"/>
  <c r="O1472" i="1" s="1"/>
  <c r="O1473" i="1" a="1"/>
  <c r="O1473" i="1" s="1"/>
  <c r="O1474" i="1" a="1"/>
  <c r="O1474" i="1"/>
  <c r="O1475" i="1" a="1"/>
  <c r="O1475" i="1" s="1"/>
  <c r="O1476" i="1" a="1"/>
  <c r="O1476" i="1" s="1"/>
  <c r="O1477" i="1" a="1"/>
  <c r="O1477" i="1" s="1"/>
  <c r="O1478" i="1" a="1"/>
  <c r="O1478" i="1" s="1"/>
  <c r="O1479" i="1" a="1"/>
  <c r="O1479" i="1" s="1"/>
  <c r="O1480" i="1" a="1"/>
  <c r="O1480" i="1"/>
  <c r="O1481" i="1" a="1"/>
  <c r="O1481" i="1" s="1"/>
  <c r="O1482" i="1" a="1"/>
  <c r="O1482" i="1"/>
  <c r="O1483" i="1" a="1"/>
  <c r="O1483" i="1" s="1"/>
  <c r="O1484" i="1" a="1"/>
  <c r="O1484" i="1" s="1"/>
  <c r="O1485" i="1" a="1"/>
  <c r="O1485" i="1" s="1"/>
  <c r="O1486" i="1" a="1"/>
  <c r="O1486" i="1"/>
  <c r="O1487" i="1" a="1"/>
  <c r="O1487" i="1" s="1"/>
  <c r="O1488" i="1" a="1"/>
  <c r="O1488" i="1" s="1"/>
  <c r="O1489" i="1" a="1"/>
  <c r="O1489" i="1"/>
  <c r="O1490" i="1" a="1"/>
  <c r="O1490" i="1" s="1"/>
  <c r="O1491" i="1" a="1"/>
  <c r="O1491" i="1" s="1"/>
  <c r="O1492" i="1" a="1"/>
  <c r="O1492" i="1"/>
  <c r="O1493" i="1" a="1"/>
  <c r="O1493" i="1" s="1"/>
  <c r="O1494" i="1" a="1"/>
  <c r="O1494" i="1" s="1"/>
  <c r="O1495" i="1" a="1"/>
  <c r="O1495" i="1" s="1"/>
  <c r="O1496" i="1" a="1"/>
  <c r="O1496" i="1"/>
  <c r="O1497" i="1" a="1"/>
  <c r="O1497" i="1" s="1"/>
  <c r="O1498" i="1" a="1"/>
  <c r="O1498" i="1"/>
  <c r="O1499" i="1" a="1"/>
  <c r="O1499" i="1" s="1"/>
  <c r="O1500" i="1" a="1"/>
  <c r="O1500" i="1" s="1"/>
  <c r="O1501" i="1" a="1"/>
  <c r="O1501" i="1" s="1"/>
  <c r="O1502" i="1" a="1"/>
  <c r="O1502" i="1" s="1"/>
  <c r="O1503" i="1" a="1"/>
  <c r="O1503" i="1" s="1"/>
  <c r="O1504" i="1" a="1"/>
  <c r="O1504" i="1"/>
  <c r="O1505" i="1" a="1"/>
  <c r="O1505" i="1" s="1"/>
  <c r="O1506" i="1" a="1"/>
  <c r="O1506" i="1" s="1"/>
  <c r="O1507" i="1" a="1"/>
  <c r="O1507" i="1" s="1"/>
  <c r="O1508" i="1" a="1"/>
  <c r="O1508" i="1" s="1"/>
  <c r="O1509" i="1" a="1"/>
  <c r="O1509" i="1" s="1"/>
  <c r="O1510" i="1" a="1"/>
  <c r="O1510" i="1"/>
  <c r="O1511" i="1" a="1"/>
  <c r="O1511" i="1" s="1"/>
  <c r="O1512" i="1" a="1"/>
  <c r="O1512" i="1" s="1"/>
  <c r="O1513" i="1" a="1"/>
  <c r="O1513" i="1" s="1"/>
  <c r="O1514" i="1" a="1"/>
  <c r="O1514" i="1" s="1"/>
  <c r="O1515" i="1" a="1"/>
  <c r="O1515" i="1" s="1"/>
  <c r="O1516" i="1" a="1"/>
  <c r="O1516" i="1"/>
  <c r="O1517" i="1" a="1"/>
  <c r="O1517" i="1" s="1"/>
  <c r="O1518" i="1" a="1"/>
  <c r="O1518" i="1"/>
  <c r="O1519" i="1" a="1"/>
  <c r="O1519" i="1" s="1"/>
  <c r="O1520" i="1" a="1"/>
  <c r="O1520" i="1" s="1"/>
  <c r="O1521" i="1" a="1"/>
  <c r="O1521" i="1" s="1"/>
  <c r="O1522" i="1" a="1"/>
  <c r="O1522" i="1"/>
  <c r="O1523" i="1" a="1"/>
  <c r="O1523" i="1" s="1"/>
  <c r="O1524" i="1" a="1"/>
  <c r="O1524" i="1" s="1"/>
  <c r="O1525" i="1" a="1"/>
  <c r="O1525" i="1"/>
  <c r="O1526" i="1" a="1"/>
  <c r="O1526" i="1" s="1"/>
  <c r="O1527" i="1" a="1"/>
  <c r="O1527" i="1" s="1"/>
  <c r="O1528" i="1" a="1"/>
  <c r="O1528" i="1"/>
  <c r="O1529" i="1" a="1"/>
  <c r="O1529" i="1" s="1"/>
  <c r="O1530" i="1" a="1"/>
  <c r="O1530" i="1" s="1"/>
  <c r="O1531" i="1" a="1"/>
  <c r="O1531" i="1" s="1"/>
  <c r="O1532" i="1" a="1"/>
  <c r="O1532" i="1"/>
  <c r="O1533" i="1" a="1"/>
  <c r="O1533" i="1" s="1"/>
  <c r="O1534" i="1" a="1"/>
  <c r="O1534" i="1"/>
  <c r="O1535" i="1" a="1"/>
  <c r="O1535" i="1" s="1"/>
  <c r="O1536" i="1" a="1"/>
  <c r="O1536" i="1" s="1"/>
  <c r="O1537" i="1" a="1"/>
  <c r="O1537" i="1" s="1"/>
  <c r="O1538" i="1" a="1"/>
  <c r="O1538" i="1" s="1"/>
  <c r="O1539" i="1" a="1"/>
  <c r="O1539" i="1" s="1"/>
  <c r="O1540" i="1" a="1"/>
  <c r="O1540" i="1"/>
  <c r="O1541" i="1" a="1"/>
  <c r="O1541" i="1" s="1"/>
  <c r="O1542" i="1" a="1"/>
  <c r="O1542" i="1" s="1"/>
  <c r="O1543" i="1" a="1"/>
  <c r="O1543" i="1" s="1"/>
  <c r="O1544" i="1" a="1"/>
  <c r="O1544" i="1" s="1"/>
  <c r="O1545" i="1" a="1"/>
  <c r="O1545" i="1" s="1"/>
  <c r="O1546" i="1" a="1"/>
  <c r="O1546" i="1"/>
  <c r="O1547" i="1" a="1"/>
  <c r="O1547" i="1" s="1"/>
  <c r="O1548" i="1" a="1"/>
  <c r="O1548" i="1" s="1"/>
  <c r="O1549" i="1" a="1"/>
  <c r="O1549" i="1" s="1"/>
  <c r="O1550" i="1" a="1"/>
  <c r="O1550" i="1" s="1"/>
  <c r="O1551" i="1" a="1"/>
  <c r="O1551" i="1" s="1"/>
  <c r="O1552" i="1" a="1"/>
  <c r="O1552" i="1"/>
  <c r="O1553" i="1" a="1"/>
  <c r="O1553" i="1" s="1"/>
  <c r="O1554" i="1" a="1"/>
  <c r="O1554" i="1"/>
  <c r="O1555" i="1" a="1"/>
  <c r="O1555" i="1" s="1"/>
  <c r="O1556" i="1" a="1"/>
  <c r="O1556" i="1" s="1"/>
  <c r="O1557" i="1" a="1"/>
  <c r="O1557" i="1" s="1"/>
  <c r="O1558" i="1" a="1"/>
  <c r="O1558" i="1"/>
  <c r="O1559" i="1" a="1"/>
  <c r="O1559" i="1" s="1"/>
  <c r="O1560" i="1" a="1"/>
  <c r="O1560" i="1" s="1"/>
  <c r="O1561" i="1" a="1"/>
  <c r="O1561" i="1"/>
  <c r="O1562" i="1" a="1"/>
  <c r="O1562" i="1" s="1"/>
  <c r="O1563" i="1" a="1"/>
  <c r="O1563" i="1" s="1"/>
  <c r="O1564" i="1" a="1"/>
  <c r="O1564" i="1"/>
  <c r="O1565" i="1" a="1"/>
  <c r="O1565" i="1" s="1"/>
  <c r="O1566" i="1" a="1"/>
  <c r="O1566" i="1" s="1"/>
  <c r="O1567" i="1" a="1"/>
  <c r="O1567" i="1" s="1"/>
  <c r="O1568" i="1" a="1"/>
  <c r="O1568" i="1"/>
  <c r="O1569" i="1" a="1"/>
  <c r="O1569" i="1" s="1"/>
  <c r="O1570" i="1" a="1"/>
  <c r="O1570" i="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c r="O1583" i="1" a="1"/>
  <c r="O1583" i="1" s="1"/>
  <c r="O1584" i="1" a="1"/>
  <c r="O1584" i="1" s="1"/>
  <c r="O1585" i="1" a="1"/>
  <c r="O1585" i="1" s="1"/>
  <c r="O1586" i="1" a="1"/>
  <c r="O1586" i="1" s="1"/>
  <c r="O1587" i="1" a="1"/>
  <c r="O1587" i="1" s="1"/>
  <c r="O1588" i="1" a="1"/>
  <c r="O1588" i="1"/>
  <c r="O1589" i="1" a="1"/>
  <c r="O1589" i="1" s="1"/>
  <c r="O1590" i="1" a="1"/>
  <c r="O1590" i="1"/>
  <c r="O1591" i="1" a="1"/>
  <c r="O1591" i="1" s="1"/>
  <c r="O1592" i="1" a="1"/>
  <c r="O1592" i="1" s="1"/>
  <c r="O1593" i="1" a="1"/>
  <c r="O1593" i="1" s="1"/>
  <c r="O1594" i="1" a="1"/>
  <c r="O1594" i="1"/>
  <c r="O1595" i="1" a="1"/>
  <c r="O1595" i="1" s="1"/>
  <c r="O1596" i="1" a="1"/>
  <c r="O1596" i="1" s="1"/>
  <c r="O1597" i="1" a="1"/>
  <c r="O1597" i="1"/>
  <c r="O1598" i="1" a="1"/>
  <c r="O1598" i="1" s="1"/>
  <c r="O1599" i="1" a="1"/>
  <c r="O1599" i="1" s="1"/>
  <c r="O1600" i="1" a="1"/>
  <c r="O1600" i="1"/>
  <c r="O1601" i="1" a="1"/>
  <c r="O1601" i="1" s="1"/>
  <c r="O1602" i="1" a="1"/>
  <c r="O1602" i="1" s="1"/>
  <c r="O1603" i="1" a="1"/>
  <c r="O1603" i="1" s="1"/>
  <c r="O1604" i="1" a="1"/>
  <c r="O1604" i="1"/>
  <c r="O1605" i="1" a="1"/>
  <c r="O1605" i="1" s="1"/>
  <c r="O1606" i="1" a="1"/>
  <c r="O1606" i="1"/>
  <c r="O1607" i="1" a="1"/>
  <c r="O1607" i="1" s="1"/>
  <c r="O1608" i="1" a="1"/>
  <c r="O1608" i="1" s="1"/>
  <c r="O1609" i="1" a="1"/>
  <c r="O1609" i="1" s="1"/>
  <c r="O1610" i="1" a="1"/>
  <c r="O1610" i="1" s="1"/>
  <c r="O1611" i="1" a="1"/>
  <c r="O1611" i="1" s="1"/>
  <c r="O1612" i="1" a="1"/>
  <c r="O1612" i="1"/>
  <c r="O1613" i="1" a="1"/>
  <c r="O1613" i="1" s="1"/>
  <c r="O1614" i="1" a="1"/>
  <c r="O1614" i="1" s="1"/>
  <c r="O1615" i="1" a="1"/>
  <c r="O1615" i="1" s="1"/>
  <c r="O1616" i="1" a="1"/>
  <c r="O1616" i="1" s="1"/>
  <c r="O1617" i="1" a="1"/>
  <c r="O1617" i="1" s="1"/>
  <c r="O1618" i="1" a="1"/>
  <c r="O1618" i="1"/>
  <c r="O1619" i="1" a="1"/>
  <c r="O1619" i="1" s="1"/>
  <c r="O1620" i="1" a="1"/>
  <c r="O1620" i="1" s="1"/>
  <c r="O1621" i="1" a="1"/>
  <c r="O1621" i="1" s="1"/>
  <c r="O1622" i="1" a="1"/>
  <c r="O1622" i="1" s="1"/>
  <c r="O1623" i="1" a="1"/>
  <c r="O1623" i="1" s="1"/>
  <c r="O1624" i="1" a="1"/>
  <c r="O1624" i="1"/>
  <c r="O1625" i="1" a="1"/>
  <c r="O1625" i="1" s="1"/>
  <c r="O1626" i="1" a="1"/>
  <c r="O1626" i="1"/>
  <c r="O1627" i="1" a="1"/>
  <c r="O1627" i="1" s="1"/>
  <c r="O1628" i="1" a="1"/>
  <c r="O1628" i="1" s="1"/>
  <c r="O1629" i="1" a="1"/>
  <c r="O1629" i="1" s="1"/>
  <c r="O1630" i="1" a="1"/>
  <c r="O1630" i="1"/>
  <c r="O1631" i="1" a="1"/>
  <c r="O1631" i="1" s="1"/>
  <c r="O1632" i="1" a="1"/>
  <c r="O1632" i="1" s="1"/>
  <c r="O1633" i="1" a="1"/>
  <c r="O1633" i="1"/>
  <c r="O1634" i="1" a="1"/>
  <c r="O1634" i="1" s="1"/>
  <c r="O1635" i="1" a="1"/>
  <c r="O1635" i="1" s="1"/>
  <c r="O1636" i="1" a="1"/>
  <c r="O1636" i="1"/>
  <c r="O1637" i="1" a="1"/>
  <c r="O1637" i="1" s="1"/>
  <c r="O1638" i="1" a="1"/>
  <c r="O1638" i="1" s="1"/>
  <c r="O1639" i="1" a="1"/>
  <c r="O1639" i="1" s="1"/>
  <c r="O1640" i="1" a="1"/>
  <c r="O1640" i="1"/>
  <c r="O1641" i="1" a="1"/>
  <c r="O1641" i="1" s="1"/>
  <c r="O1642" i="1" a="1"/>
  <c r="O1642" i="1"/>
  <c r="O1643" i="1" a="1"/>
  <c r="O1643" i="1" s="1"/>
  <c r="O1644" i="1" a="1"/>
  <c r="O1644" i="1" s="1"/>
  <c r="O1645" i="1" a="1"/>
  <c r="O1645" i="1" s="1"/>
  <c r="O1646" i="1" a="1"/>
  <c r="O1646" i="1" s="1"/>
  <c r="O1647" i="1" a="1"/>
  <c r="O1647" i="1" s="1"/>
  <c r="O1648" i="1" a="1"/>
  <c r="O1648" i="1"/>
  <c r="O1649" i="1" a="1"/>
  <c r="O1649" i="1"/>
  <c r="O1650" i="1" a="1"/>
  <c r="O1650" i="1"/>
  <c r="O1651" i="1" a="1"/>
  <c r="O1651" i="1"/>
  <c r="O1652" i="1" a="1"/>
  <c r="O1652" i="1"/>
  <c r="O1653" i="1" a="1"/>
  <c r="O1653" i="1" s="1"/>
  <c r="O1654" i="1" a="1"/>
  <c r="O1654" i="1"/>
  <c r="O1655" i="1" a="1"/>
  <c r="O1655" i="1" s="1"/>
  <c r="O1656" i="1" a="1"/>
  <c r="O1656" i="1" s="1"/>
  <c r="O1657" i="1" a="1"/>
  <c r="O1657" i="1" s="1"/>
  <c r="O1658" i="1" a="1"/>
  <c r="O1658" i="1" s="1"/>
  <c r="O1659" i="1" a="1"/>
  <c r="O1659" i="1" s="1"/>
  <c r="O1660" i="1" a="1"/>
  <c r="O1660" i="1"/>
  <c r="O1661" i="1" a="1"/>
  <c r="O1661" i="1"/>
  <c r="O1662" i="1" a="1"/>
  <c r="O1662" i="1"/>
  <c r="O1663" i="1" a="1"/>
  <c r="O1663" i="1"/>
  <c r="O1664" i="1" a="1"/>
  <c r="O1664" i="1"/>
  <c r="O1665" i="1" a="1"/>
  <c r="O1665" i="1" s="1"/>
  <c r="O1666" i="1" a="1"/>
  <c r="O1666" i="1" s="1"/>
  <c r="O1667" i="1" a="1"/>
  <c r="O1667" i="1"/>
  <c r="O1668" i="1" a="1"/>
  <c r="O1668" i="1" s="1"/>
  <c r="O1669" i="1" a="1"/>
  <c r="O1669" i="1" s="1"/>
  <c r="O1670" i="1" a="1"/>
  <c r="O1670" i="1" s="1"/>
  <c r="O1671" i="1" a="1"/>
  <c r="O1671" i="1" s="1"/>
  <c r="O1672" i="1" a="1"/>
  <c r="O1672" i="1"/>
  <c r="O1673" i="1" a="1"/>
  <c r="O1673" i="1"/>
  <c r="O1674" i="1" a="1"/>
  <c r="O1674" i="1" s="1"/>
  <c r="O1675" i="1" a="1"/>
  <c r="O1675" i="1"/>
  <c r="O1676" i="1" a="1"/>
  <c r="O1676" i="1"/>
  <c r="O1677" i="1" a="1"/>
  <c r="O1677" i="1" s="1"/>
  <c r="O1678" i="1" a="1"/>
  <c r="O1678" i="1" s="1"/>
  <c r="O1679" i="1" a="1"/>
  <c r="O1679" i="1" s="1"/>
  <c r="O1680" i="1" a="1"/>
  <c r="O1680" i="1"/>
  <c r="O1681" i="1" a="1"/>
  <c r="O1681" i="1" s="1"/>
  <c r="O1682" i="1" a="1"/>
  <c r="O1682" i="1" s="1"/>
  <c r="O1683" i="1" a="1"/>
  <c r="O1683" i="1" s="1"/>
  <c r="O1684" i="1" a="1"/>
  <c r="O1684" i="1"/>
  <c r="O1685" i="1" a="1"/>
  <c r="O1685" i="1"/>
  <c r="O1686" i="1" a="1"/>
  <c r="O1686" i="1"/>
  <c r="O1687" i="1" a="1"/>
  <c r="O1687" i="1"/>
  <c r="O1688" i="1" a="1"/>
  <c r="O1688" i="1"/>
  <c r="O1689" i="1" a="1"/>
  <c r="O1689" i="1" s="1"/>
  <c r="O1690" i="1" a="1"/>
  <c r="O1690" i="1" s="1"/>
  <c r="O1691" i="1" a="1"/>
  <c r="O1691" i="1" s="1"/>
  <c r="O1692" i="1" a="1"/>
  <c r="O1692" i="1" s="1"/>
  <c r="O1693" i="1" a="1"/>
  <c r="O1693" i="1"/>
  <c r="O1694" i="1" a="1"/>
  <c r="O1694" i="1" s="1"/>
  <c r="O1695" i="1" a="1"/>
  <c r="O1695" i="1" s="1"/>
  <c r="O1696" i="1" a="1"/>
  <c r="O1696" i="1"/>
  <c r="O1697" i="1" a="1"/>
  <c r="O1697" i="1"/>
  <c r="O1698" i="1" a="1"/>
  <c r="O1698" i="1"/>
  <c r="O1699" i="1" a="1"/>
  <c r="O1699" i="1"/>
  <c r="O1700" i="1" a="1"/>
  <c r="O1700" i="1"/>
  <c r="O1701" i="1" a="1"/>
  <c r="O1701" i="1" s="1"/>
  <c r="O1702" i="1" a="1"/>
  <c r="O1702" i="1" s="1"/>
  <c r="O1703" i="1" a="1"/>
  <c r="O1703" i="1" s="1"/>
  <c r="O1704" i="1" a="1"/>
  <c r="O1704" i="1" s="1"/>
  <c r="O1705" i="1" a="1"/>
  <c r="O1705" i="1" s="1"/>
  <c r="O1706" i="1" a="1"/>
  <c r="O1706" i="1"/>
  <c r="O1707" i="1" a="1"/>
  <c r="O1707" i="1" s="1"/>
  <c r="O1708" i="1" a="1"/>
  <c r="O1708" i="1"/>
  <c r="O1709" i="1" a="1"/>
  <c r="O1709" i="1"/>
  <c r="O1710" i="1" a="1"/>
  <c r="O1710" i="1"/>
  <c r="O1711" i="1" a="1"/>
  <c r="O1711" i="1"/>
  <c r="O1712" i="1" a="1"/>
  <c r="O1712" i="1"/>
  <c r="O1713" i="1" a="1"/>
  <c r="O1713" i="1" s="1"/>
  <c r="O1714" i="1" a="1"/>
  <c r="O1714" i="1" s="1"/>
  <c r="O1715" i="1" a="1"/>
  <c r="O1715" i="1" s="1"/>
  <c r="O1716" i="1" a="1"/>
  <c r="O1716" i="1" s="1"/>
  <c r="O1717" i="1" a="1"/>
  <c r="O1717" i="1" s="1"/>
  <c r="O1718" i="1" a="1"/>
  <c r="O1718" i="1" s="1"/>
  <c r="O1719" i="1" a="1"/>
  <c r="O1719" i="1" s="1"/>
  <c r="O1720" i="1" a="1"/>
  <c r="O1720" i="1" s="1"/>
  <c r="O1721" i="1" a="1"/>
  <c r="O1721" i="1"/>
  <c r="O1722" i="1" a="1"/>
  <c r="O1722" i="1"/>
  <c r="O1723" i="1" a="1"/>
  <c r="O1723" i="1"/>
  <c r="O1724" i="1" a="1"/>
  <c r="O1724" i="1"/>
  <c r="O1725" i="1" a="1"/>
  <c r="O1725" i="1" s="1"/>
  <c r="O1726" i="1" a="1"/>
  <c r="O1726" i="1" s="1"/>
  <c r="O1727" i="1" a="1"/>
  <c r="O1727" i="1" s="1"/>
  <c r="O1728" i="1" a="1"/>
  <c r="O1728" i="1" s="1"/>
  <c r="O1729" i="1" a="1"/>
  <c r="O1729" i="1" s="1"/>
  <c r="O1730" i="1" a="1"/>
  <c r="O1730" i="1" s="1"/>
  <c r="O1731" i="1" a="1"/>
  <c r="O1731" i="1" s="1"/>
  <c r="O1732" i="1" a="1"/>
  <c r="O1732" i="1"/>
  <c r="O1733" i="1" a="1"/>
  <c r="O1733" i="1" s="1"/>
  <c r="O1734" i="1" a="1"/>
  <c r="O1734" i="1"/>
  <c r="O1735" i="1" a="1"/>
  <c r="O1735" i="1"/>
  <c r="O1736" i="1" a="1"/>
  <c r="O1736" i="1"/>
  <c r="O1737" i="1" a="1"/>
  <c r="O1737" i="1" s="1"/>
  <c r="O1738" i="1" a="1"/>
  <c r="O1738" i="1" s="1"/>
  <c r="O1739" i="1" a="1"/>
  <c r="O1739" i="1"/>
  <c r="O1740" i="1" a="1"/>
  <c r="O1740" i="1" s="1"/>
  <c r="O1741" i="1" a="1"/>
  <c r="O1741" i="1" s="1"/>
  <c r="O1742" i="1" a="1"/>
  <c r="O1742" i="1" s="1"/>
  <c r="O1743" i="1" a="1"/>
  <c r="O1743" i="1" s="1"/>
  <c r="O1744" i="1" a="1"/>
  <c r="O1744" i="1"/>
  <c r="O1745" i="1" a="1"/>
  <c r="O1745" i="1"/>
  <c r="O1746" i="1" a="1"/>
  <c r="O1746" i="1"/>
  <c r="O1747" i="1" a="1"/>
  <c r="O1747" i="1"/>
  <c r="O1748" i="1" a="1"/>
  <c r="O1748" i="1"/>
  <c r="O1749" i="1" a="1"/>
  <c r="O1749" i="1" s="1"/>
  <c r="O1750" i="1" a="1"/>
  <c r="O1750" i="1" s="1"/>
  <c r="O1751" i="1" a="1"/>
  <c r="O1751" i="1" s="1"/>
  <c r="O1752" i="1" a="1"/>
  <c r="O1752" i="1"/>
  <c r="O1753" i="1" a="1"/>
  <c r="O1753" i="1" s="1"/>
  <c r="O1754" i="1" a="1"/>
  <c r="O1754" i="1" s="1"/>
  <c r="O1755" i="1" a="1"/>
  <c r="O1755" i="1" s="1"/>
  <c r="O1756" i="1" a="1"/>
  <c r="O1756" i="1"/>
  <c r="O1757" i="1" a="1"/>
  <c r="O1757" i="1"/>
  <c r="O1758" i="1" a="1"/>
  <c r="O1758" i="1"/>
  <c r="O1759" i="1" a="1"/>
  <c r="O1759" i="1" s="1"/>
  <c r="O1760" i="1" a="1"/>
  <c r="O1760" i="1"/>
  <c r="O1761" i="1" a="1"/>
  <c r="O1761" i="1" s="1"/>
  <c r="O1762" i="1" a="1"/>
  <c r="O1762" i="1" s="1"/>
  <c r="O1763" i="1" a="1"/>
  <c r="O1763" i="1" s="1"/>
  <c r="O1764" i="1" a="1"/>
  <c r="O1764" i="1" s="1"/>
  <c r="O1765" i="1" a="1"/>
  <c r="O1765" i="1" s="1"/>
  <c r="O1766" i="1" a="1"/>
  <c r="O1766" i="1" s="1"/>
  <c r="O1767" i="1" a="1"/>
  <c r="O1767" i="1" s="1"/>
  <c r="O1768" i="1" a="1"/>
  <c r="O1768" i="1"/>
  <c r="O1769" i="1" a="1"/>
  <c r="O1769" i="1"/>
  <c r="O1770" i="1" a="1"/>
  <c r="O1770" i="1"/>
  <c r="O1771" i="1" a="1"/>
  <c r="O1771" i="1"/>
  <c r="O1772" i="1" a="1"/>
  <c r="O1772" i="1" s="1"/>
  <c r="O1773" i="1" a="1"/>
  <c r="O1773" i="1" s="1"/>
  <c r="O1774" i="1" a="1"/>
  <c r="O1774" i="1" s="1"/>
  <c r="O1775" i="1" a="1"/>
  <c r="O1775" i="1" s="1"/>
  <c r="O1776" i="1" a="1"/>
  <c r="O1776" i="1" s="1"/>
  <c r="O1777" i="1" a="1"/>
  <c r="O1777" i="1" s="1"/>
  <c r="O1778" i="1" a="1"/>
  <c r="O1778" i="1" s="1"/>
  <c r="O1779" i="1" a="1"/>
  <c r="O1779" i="1" s="1"/>
  <c r="O1780" i="1" a="1"/>
  <c r="O1780" i="1"/>
  <c r="O1781" i="1" a="1"/>
  <c r="O1781" i="1"/>
  <c r="O1782" i="1" a="1"/>
  <c r="O1782" i="1"/>
  <c r="O1783" i="1" a="1"/>
  <c r="O1783" i="1"/>
  <c r="O1784" i="1" a="1"/>
  <c r="O1784" i="1"/>
  <c r="O1785" i="1" a="1"/>
  <c r="O1785" i="1" s="1"/>
  <c r="O1786" i="1" a="1"/>
  <c r="O1786" i="1" s="1"/>
  <c r="O1787" i="1" a="1"/>
  <c r="O1787" i="1" s="1"/>
  <c r="O1788" i="1" a="1"/>
  <c r="O1788" i="1" s="1"/>
  <c r="O1789" i="1" a="1"/>
  <c r="O1789" i="1" s="1"/>
  <c r="O1790" i="1" a="1"/>
  <c r="O1790" i="1" s="1"/>
  <c r="O1791" i="1" a="1"/>
  <c r="O1791" i="1" s="1"/>
  <c r="O1792" i="1" a="1"/>
  <c r="O1792" i="1" s="1"/>
  <c r="O1793" i="1" a="1"/>
  <c r="O1793" i="1"/>
  <c r="O1794" i="1" a="1"/>
  <c r="O1794" i="1"/>
  <c r="O1795" i="1" a="1"/>
  <c r="O1795" i="1"/>
  <c r="O1796" i="1" a="1"/>
  <c r="O1796" i="1"/>
  <c r="O1797" i="1" a="1"/>
  <c r="O1797" i="1"/>
  <c r="O1798" i="1" a="1"/>
  <c r="O1798" i="1" s="1"/>
  <c r="O1799" i="1" a="1"/>
  <c r="O1799" i="1"/>
  <c r="O1800" i="1" a="1"/>
  <c r="O1800" i="1"/>
  <c r="O1801" i="1" a="1"/>
  <c r="O1801" i="1"/>
  <c r="O1802" i="1" a="1"/>
  <c r="O1802" i="1"/>
  <c r="O1803" i="1" a="1"/>
  <c r="O1803" i="1"/>
  <c r="O1804" i="1" a="1"/>
  <c r="O1804" i="1" s="1"/>
  <c r="O1805" i="1" a="1"/>
  <c r="O1805" i="1"/>
  <c r="O1806" i="1" a="1"/>
  <c r="O1806" i="1"/>
  <c r="O1807" i="1" a="1"/>
  <c r="O1807" i="1"/>
  <c r="O1808" i="1" a="1"/>
  <c r="O1808" i="1"/>
  <c r="O1809" i="1" a="1"/>
  <c r="O1809" i="1"/>
  <c r="O1810" i="1" a="1"/>
  <c r="O1810" i="1" s="1"/>
  <c r="O1811" i="1" a="1"/>
  <c r="O1811" i="1"/>
  <c r="O1812" i="1" a="1"/>
  <c r="O1812" i="1"/>
  <c r="O1813" i="1" a="1"/>
  <c r="O1813" i="1"/>
  <c r="O1814" i="1" a="1"/>
  <c r="O1814" i="1"/>
  <c r="O1815" i="1" a="1"/>
  <c r="O1815" i="1"/>
  <c r="O1816" i="1" a="1"/>
  <c r="O1816" i="1" s="1"/>
  <c r="O1817" i="1" a="1"/>
  <c r="O1817" i="1"/>
  <c r="O1818" i="1" a="1"/>
  <c r="O1818" i="1"/>
  <c r="O1819" i="1" a="1"/>
  <c r="O1819" i="1"/>
  <c r="O1820" i="1" a="1"/>
  <c r="O1820" i="1"/>
  <c r="O1821" i="1" a="1"/>
  <c r="O1821" i="1"/>
  <c r="O1822" i="1" a="1"/>
  <c r="O1822" i="1" s="1"/>
  <c r="O1823" i="1" a="1"/>
  <c r="O1823" i="1"/>
  <c r="O1824" i="1" a="1"/>
  <c r="O1824" i="1"/>
  <c r="O1825" i="1" a="1"/>
  <c r="O1825" i="1"/>
  <c r="O1826" i="1" a="1"/>
  <c r="O1826" i="1"/>
  <c r="O1827" i="1" a="1"/>
  <c r="O1827" i="1"/>
  <c r="O1828" i="1" a="1"/>
  <c r="O1828" i="1" s="1"/>
  <c r="O1829" i="1" a="1"/>
  <c r="O1829" i="1"/>
  <c r="O1830" i="1" a="1"/>
  <c r="O1830" i="1"/>
  <c r="O1831" i="1" a="1"/>
  <c r="O1831" i="1"/>
  <c r="O1832" i="1" a="1"/>
  <c r="O1832" i="1"/>
  <c r="O1833" i="1" a="1"/>
  <c r="O1833" i="1"/>
  <c r="O1834" i="1" a="1"/>
  <c r="O1834" i="1" s="1"/>
  <c r="O1835" i="1" a="1"/>
  <c r="O1835" i="1"/>
  <c r="O1836" i="1" a="1"/>
  <c r="O1836" i="1"/>
  <c r="O1837" i="1" a="1"/>
  <c r="O1837" i="1"/>
  <c r="O1838" i="1" a="1"/>
  <c r="O1838" i="1"/>
  <c r="O1839" i="1" a="1"/>
  <c r="O1839" i="1"/>
  <c r="O1840" i="1" a="1"/>
  <c r="O1840" i="1" s="1"/>
  <c r="O1841" i="1" a="1"/>
  <c r="O1841" i="1"/>
  <c r="O1842" i="1" a="1"/>
  <c r="O1842" i="1"/>
  <c r="O1843" i="1" a="1"/>
  <c r="O1843" i="1"/>
  <c r="O1844" i="1" a="1"/>
  <c r="O1844" i="1"/>
  <c r="O1845" i="1" a="1"/>
  <c r="O1845" i="1"/>
  <c r="O1846" i="1" a="1"/>
  <c r="O1846" i="1" s="1"/>
  <c r="O1847" i="1" a="1"/>
  <c r="O1847" i="1"/>
  <c r="O1848" i="1" a="1"/>
  <c r="O1848" i="1"/>
  <c r="O1849" i="1" a="1"/>
  <c r="O1849" i="1"/>
  <c r="O1850" i="1" a="1"/>
  <c r="O1850" i="1"/>
  <c r="O1851" i="1" a="1"/>
  <c r="O1851" i="1"/>
  <c r="O1852" i="1" a="1"/>
  <c r="O1852" i="1" s="1"/>
  <c r="O1853" i="1" a="1"/>
  <c r="O1853" i="1"/>
  <c r="O1854" i="1" a="1"/>
  <c r="O1854" i="1"/>
  <c r="O1855" i="1" a="1"/>
  <c r="O1855" i="1"/>
  <c r="O1856" i="1" a="1"/>
  <c r="O1856" i="1"/>
  <c r="O1857" i="1" a="1"/>
  <c r="O1857" i="1"/>
  <c r="O1858" i="1" a="1"/>
  <c r="O1858" i="1" s="1"/>
  <c r="O1859" i="1" a="1"/>
  <c r="O1859" i="1"/>
  <c r="O1860" i="1" a="1"/>
  <c r="O1860" i="1"/>
  <c r="O1861" i="1" a="1"/>
  <c r="O1861" i="1"/>
  <c r="O1862" i="1" a="1"/>
  <c r="O1862" i="1"/>
  <c r="O1863" i="1" a="1"/>
  <c r="O1863" i="1"/>
  <c r="O1864" i="1" a="1"/>
  <c r="O1864" i="1" s="1"/>
  <c r="O1865" i="1" a="1"/>
  <c r="O1865" i="1"/>
  <c r="O1866" i="1" a="1"/>
  <c r="O1866" i="1"/>
  <c r="O1867" i="1" a="1"/>
  <c r="O1867" i="1"/>
  <c r="O1868" i="1" a="1"/>
  <c r="O1868" i="1"/>
  <c r="O1869" i="1" a="1"/>
  <c r="O1869" i="1"/>
  <c r="O1870" i="1" a="1"/>
  <c r="O1870" i="1" s="1"/>
  <c r="O1871" i="1" a="1"/>
  <c r="O1871" i="1"/>
  <c r="O1872" i="1" a="1"/>
  <c r="O1872" i="1"/>
  <c r="O1873" i="1" a="1"/>
  <c r="O1873" i="1"/>
  <c r="O1874" i="1" a="1"/>
  <c r="O1874" i="1"/>
  <c r="O1875" i="1" a="1"/>
  <c r="O1875" i="1"/>
  <c r="O1876" i="1" a="1"/>
  <c r="O1876" i="1" s="1"/>
  <c r="O1877" i="1" a="1"/>
  <c r="O1877" i="1" s="1"/>
  <c r="O1878" i="1" a="1"/>
  <c r="O1878" i="1"/>
  <c r="O1879" i="1" a="1"/>
  <c r="O1879" i="1"/>
  <c r="O1880" i="1" a="1"/>
  <c r="O1880" i="1" s="1"/>
  <c r="O1881" i="1" a="1"/>
  <c r="O1881" i="1"/>
  <c r="O1882" i="1" a="1"/>
  <c r="O1882" i="1"/>
  <c r="O1883" i="1" a="1"/>
  <c r="O1883" i="1" s="1"/>
  <c r="O1884" i="1" a="1"/>
  <c r="O1884" i="1"/>
  <c r="O1885" i="1" a="1"/>
  <c r="O1885" i="1"/>
  <c r="O1886" i="1" a="1"/>
  <c r="O1886" i="1" s="1"/>
  <c r="O1887" i="1" a="1"/>
  <c r="O1887" i="1"/>
  <c r="O1888" i="1" a="1"/>
  <c r="O1888" i="1" s="1"/>
  <c r="O1889" i="1" a="1"/>
  <c r="O1889" i="1" s="1"/>
  <c r="O1890" i="1" a="1"/>
  <c r="O1890" i="1"/>
  <c r="O1891" i="1" a="1"/>
  <c r="O1891" i="1"/>
  <c r="O1892" i="1" a="1"/>
  <c r="O1892" i="1" s="1"/>
  <c r="O1893" i="1" a="1"/>
  <c r="O1893" i="1"/>
  <c r="O1894" i="1" a="1"/>
  <c r="O1894" i="1" s="1"/>
  <c r="O1895" i="1" a="1"/>
  <c r="O1895" i="1" s="1"/>
  <c r="O1896" i="1" a="1"/>
  <c r="O1896" i="1"/>
  <c r="O1897" i="1" a="1"/>
  <c r="O1897" i="1"/>
  <c r="O1898" i="1" a="1"/>
  <c r="O1898" i="1" s="1"/>
  <c r="O1899" i="1" a="1"/>
  <c r="O1899" i="1"/>
  <c r="O1900" i="1" a="1"/>
  <c r="O1900" i="1" s="1"/>
  <c r="O1901" i="1" a="1"/>
  <c r="O1901" i="1" s="1"/>
  <c r="O1902" i="1" a="1"/>
  <c r="O1902" i="1"/>
  <c r="O1903" i="1" a="1"/>
  <c r="O1903" i="1"/>
  <c r="O1904" i="1" a="1"/>
  <c r="O1904" i="1" s="1"/>
  <c r="O1905" i="1" a="1"/>
  <c r="O1905" i="1"/>
  <c r="O1906" i="1" a="1"/>
  <c r="O1906" i="1"/>
  <c r="O1907" i="1" a="1"/>
  <c r="O1907" i="1" s="1"/>
  <c r="O1908" i="1" a="1"/>
  <c r="O1908" i="1"/>
  <c r="O1909" i="1" a="1"/>
  <c r="O1909" i="1"/>
  <c r="O1910" i="1" a="1"/>
  <c r="O1910" i="1" s="1"/>
  <c r="O1911" i="1" a="1"/>
  <c r="O1911" i="1"/>
  <c r="O1912" i="1" a="1"/>
  <c r="O1912" i="1" s="1"/>
  <c r="O1913" i="1" a="1"/>
  <c r="O1913" i="1" s="1"/>
  <c r="O1914" i="1" a="1"/>
  <c r="O1914" i="1"/>
  <c r="O1915" i="1" a="1"/>
  <c r="O1915" i="1"/>
  <c r="O1916" i="1" a="1"/>
  <c r="O1916" i="1" s="1"/>
  <c r="O1917" i="1" a="1"/>
  <c r="O1917" i="1"/>
  <c r="O1918" i="1" a="1"/>
  <c r="O1918" i="1"/>
  <c r="O1919" i="1" a="1"/>
  <c r="O1919" i="1" s="1"/>
  <c r="O1920" i="1" a="1"/>
  <c r="O1920" i="1"/>
  <c r="O1921" i="1" a="1"/>
  <c r="O1921" i="1"/>
  <c r="O1922" i="1" a="1"/>
  <c r="O1922" i="1" s="1"/>
  <c r="O1923" i="1" a="1"/>
  <c r="O1923" i="1"/>
  <c r="O1924" i="1" a="1"/>
  <c r="O1924" i="1" s="1"/>
  <c r="O1925" i="1" a="1"/>
  <c r="O1925" i="1" s="1"/>
  <c r="O1926" i="1" a="1"/>
  <c r="O1926" i="1"/>
  <c r="O1927" i="1" a="1"/>
  <c r="O1927" i="1"/>
  <c r="O1928" i="1" a="1"/>
  <c r="O1928" i="1" s="1"/>
  <c r="O1929" i="1" a="1"/>
  <c r="O1929" i="1"/>
  <c r="O1930" i="1" a="1"/>
  <c r="O1930" i="1" s="1"/>
  <c r="O1931" i="1" a="1"/>
  <c r="O1931" i="1" s="1"/>
  <c r="O1932" i="1" a="1"/>
  <c r="O1932" i="1"/>
  <c r="O1933" i="1" a="1"/>
  <c r="O1933" i="1"/>
  <c r="O1934" i="1" a="1"/>
  <c r="O1934" i="1" s="1"/>
  <c r="O1935" i="1" a="1"/>
  <c r="O1935" i="1"/>
  <c r="O1936" i="1" a="1"/>
  <c r="O1936" i="1" s="1"/>
  <c r="O1937" i="1" a="1"/>
  <c r="O1937" i="1" s="1"/>
  <c r="O1938" i="1" a="1"/>
  <c r="O1938" i="1"/>
  <c r="O1939" i="1" a="1"/>
  <c r="O1939" i="1"/>
  <c r="O1940" i="1" a="1"/>
  <c r="O1940" i="1" s="1"/>
  <c r="O1941" i="1" a="1"/>
  <c r="O1941" i="1"/>
  <c r="O1942" i="1" a="1"/>
  <c r="O1942" i="1"/>
  <c r="O1943" i="1" a="1"/>
  <c r="O1943" i="1" s="1"/>
  <c r="O1944" i="1" a="1"/>
  <c r="O1944" i="1"/>
  <c r="O1945" i="1" a="1"/>
  <c r="O1945" i="1"/>
  <c r="O1946" i="1" a="1"/>
  <c r="O1946" i="1" s="1"/>
  <c r="O1947" i="1" a="1"/>
  <c r="O1947" i="1"/>
  <c r="O1948" i="1" a="1"/>
  <c r="O1948" i="1" s="1"/>
  <c r="O1949" i="1" a="1"/>
  <c r="O1949" i="1" s="1"/>
  <c r="O1950" i="1" a="1"/>
  <c r="O1950" i="1"/>
  <c r="O1951" i="1" a="1"/>
  <c r="O1951" i="1"/>
  <c r="O1952" i="1" a="1"/>
  <c r="O1952" i="1" s="1"/>
  <c r="O1953" i="1" a="1"/>
  <c r="O1953" i="1"/>
  <c r="O1954" i="1" a="1"/>
  <c r="O1954" i="1"/>
  <c r="O1955" i="1" a="1"/>
  <c r="O1955" i="1" s="1"/>
  <c r="O1956" i="1" a="1"/>
  <c r="O1956" i="1"/>
  <c r="O1957" i="1" a="1"/>
  <c r="O1957" i="1"/>
  <c r="O1958" i="1" a="1"/>
  <c r="O1958" i="1" s="1"/>
  <c r="O1959" i="1" a="1"/>
  <c r="O1959" i="1"/>
  <c r="O1960" i="1" a="1"/>
  <c r="O1960" i="1" s="1"/>
  <c r="O1961" i="1" a="1"/>
  <c r="O1961" i="1" s="1"/>
  <c r="O1962" i="1" a="1"/>
  <c r="O1962" i="1"/>
  <c r="O1963" i="1" a="1"/>
  <c r="O1963" i="1" s="1"/>
  <c r="O1964" i="1" a="1"/>
  <c r="O1964" i="1" s="1"/>
  <c r="O1965" i="1" a="1"/>
  <c r="O1965" i="1"/>
  <c r="O1966" i="1" a="1"/>
  <c r="O1966" i="1" s="1"/>
  <c r="O1967" i="1" a="1"/>
  <c r="O1967" i="1" s="1"/>
  <c r="O1968" i="1" a="1"/>
  <c r="O1968" i="1"/>
  <c r="O1969" i="1" a="1"/>
  <c r="O1969" i="1"/>
  <c r="O1970" i="1" a="1"/>
  <c r="O1970" i="1" s="1"/>
  <c r="O1971" i="1" a="1"/>
  <c r="O1971" i="1"/>
  <c r="O1972" i="1" a="1"/>
  <c r="O1972" i="1" s="1"/>
  <c r="O1973" i="1" a="1"/>
  <c r="O1973" i="1" s="1"/>
  <c r="O1974" i="1" a="1"/>
  <c r="O1974" i="1"/>
  <c r="O1975" i="1" a="1"/>
  <c r="O1975" i="1" s="1"/>
  <c r="O1976" i="1" a="1"/>
  <c r="O1976" i="1" s="1"/>
  <c r="O1977" i="1" a="1"/>
  <c r="O1977" i="1"/>
  <c r="O1978" i="1" a="1"/>
  <c r="O1978" i="1"/>
  <c r="O1979" i="1" a="1"/>
  <c r="O1979" i="1" s="1"/>
  <c r="O1980" i="1" a="1"/>
  <c r="O1980" i="1"/>
  <c r="O1981" i="1" a="1"/>
  <c r="O1981" i="1"/>
  <c r="O1982" i="1" a="1"/>
  <c r="O1982" i="1" s="1"/>
  <c r="O1983" i="1" a="1"/>
  <c r="O1983" i="1"/>
  <c r="O1984" i="1" a="1"/>
  <c r="O1984" i="1" s="1"/>
  <c r="O1985" i="1" a="1"/>
  <c r="O1985" i="1" s="1"/>
  <c r="O1986" i="1" a="1"/>
  <c r="O1986" i="1"/>
  <c r="O1987" i="1" a="1"/>
  <c r="O1987" i="1"/>
  <c r="O1988" i="1" a="1"/>
  <c r="O1988" i="1" s="1"/>
  <c r="O1989" i="1" a="1"/>
  <c r="O1989" i="1"/>
  <c r="O1990" i="1" a="1"/>
  <c r="O1990" i="1"/>
  <c r="O1991" i="1" a="1"/>
  <c r="O1991" i="1" s="1"/>
  <c r="O1992" i="1" a="1"/>
  <c r="O1992" i="1"/>
  <c r="O1993" i="1" a="1"/>
  <c r="O1993" i="1"/>
  <c r="O1994" i="1" a="1"/>
  <c r="O1994" i="1" s="1"/>
  <c r="O1995" i="1" a="1"/>
  <c r="O1995" i="1"/>
  <c r="O1996" i="1" a="1"/>
  <c r="O1996" i="1" s="1"/>
  <c r="O1997" i="1" a="1"/>
  <c r="O1997" i="1" s="1"/>
  <c r="O1998" i="1" a="1"/>
  <c r="O1998" i="1"/>
  <c r="O1999" i="1" a="1"/>
  <c r="O1999" i="1" s="1"/>
  <c r="O2000" i="1" a="1"/>
  <c r="O2000" i="1" s="1"/>
  <c r="O2001" i="1" a="1"/>
  <c r="O2001" i="1" s="1"/>
  <c r="O2002" i="1" a="1"/>
  <c r="O2002" i="1" s="1"/>
  <c r="O2003" i="1" a="1"/>
  <c r="O2003" i="1" s="1"/>
  <c r="O2004" i="1" a="1"/>
  <c r="O2004" i="1" s="1"/>
  <c r="O2005" i="1" a="1"/>
  <c r="O2005" i="1"/>
  <c r="O2006" i="1" a="1"/>
  <c r="O2006" i="1" s="1"/>
  <c r="O2007" i="1" a="1"/>
  <c r="O2007" i="1"/>
  <c r="O2008" i="1" a="1"/>
  <c r="O2008" i="1" s="1"/>
  <c r="O2009" i="1" a="1"/>
  <c r="O2009" i="1" s="1"/>
  <c r="O2010" i="1" a="1"/>
  <c r="O2010" i="1"/>
  <c r="O2011" i="1" a="1"/>
  <c r="O2011" i="1" s="1"/>
  <c r="O2012" i="1" a="1"/>
  <c r="O2012" i="1" s="1"/>
  <c r="O2013" i="1" a="1"/>
  <c r="O2013" i="1" s="1"/>
  <c r="O2014" i="1" a="1"/>
  <c r="O2014" i="1"/>
  <c r="O2015" i="1" a="1"/>
  <c r="O2015" i="1" s="1"/>
  <c r="O2016" i="1" a="1"/>
  <c r="O2016" i="1"/>
  <c r="O2017" i="1" a="1"/>
  <c r="O2017" i="1"/>
  <c r="O2018" i="1" a="1"/>
  <c r="O2018" i="1" s="1"/>
  <c r="O2019" i="1" a="1"/>
  <c r="O2019" i="1"/>
  <c r="O2020" i="1" a="1"/>
  <c r="O2020" i="1" s="1"/>
  <c r="O2021" i="1" a="1"/>
  <c r="O2021" i="1" s="1"/>
  <c r="O2022" i="1" a="1"/>
  <c r="O2022" i="1"/>
  <c r="O2023" i="1" a="1"/>
  <c r="O2023" i="1"/>
  <c r="O2024" i="1" a="1"/>
  <c r="O2024" i="1" s="1"/>
  <c r="O2025" i="1" a="1"/>
  <c r="O2025" i="1" s="1"/>
  <c r="O2026" i="1" a="1"/>
  <c r="O2026" i="1"/>
  <c r="O2027" i="1" a="1"/>
  <c r="O2027" i="1" s="1"/>
  <c r="O2028" i="1" a="1"/>
  <c r="O2028" i="1" s="1"/>
  <c r="O2029" i="1" a="1"/>
  <c r="O2029" i="1"/>
  <c r="O2030" i="1" a="1"/>
  <c r="O2030" i="1" s="1"/>
  <c r="O2031" i="1" a="1"/>
  <c r="O2031" i="1" s="1"/>
  <c r="O2032" i="1" a="1"/>
  <c r="O2032" i="1" s="1"/>
  <c r="O2033" i="1" a="1"/>
  <c r="O2033" i="1" s="1"/>
  <c r="O2034" i="1" a="1"/>
  <c r="O2034" i="1"/>
  <c r="O2035" i="1" a="1"/>
  <c r="O2035" i="1" s="1"/>
  <c r="O2036" i="1" a="1"/>
  <c r="O2036" i="1" s="1"/>
  <c r="O2037" i="1" a="1"/>
  <c r="O2037" i="1" s="1"/>
  <c r="O2038" i="1" a="1"/>
  <c r="O2038" i="1" s="1"/>
  <c r="O2039" i="1" a="1"/>
  <c r="O2039" i="1" s="1"/>
  <c r="O2040" i="1" a="1"/>
  <c r="O2040" i="1" s="1"/>
  <c r="O2041" i="1" a="1"/>
  <c r="O2041" i="1"/>
  <c r="O2042" i="1" a="1"/>
  <c r="O2042" i="1" s="1"/>
  <c r="O2043" i="1" a="1"/>
  <c r="O2043" i="1"/>
  <c r="O2044" i="1" a="1"/>
  <c r="O2044" i="1" s="1"/>
  <c r="O2045" i="1" a="1"/>
  <c r="O2045" i="1" s="1"/>
  <c r="O2046" i="1" a="1"/>
  <c r="O2046" i="1"/>
  <c r="O2047" i="1" a="1"/>
  <c r="O2047" i="1" s="1"/>
  <c r="O2048" i="1" a="1"/>
  <c r="O2048" i="1" s="1"/>
  <c r="O2049" i="1" a="1"/>
  <c r="O2049" i="1" s="1"/>
  <c r="O2050" i="1" a="1"/>
  <c r="O2050" i="1"/>
  <c r="O2051" i="1" a="1"/>
  <c r="O2051" i="1" s="1"/>
  <c r="O2052" i="1" a="1"/>
  <c r="O2052" i="1"/>
  <c r="O2053" i="1" a="1"/>
  <c r="O2053" i="1"/>
  <c r="O2054" i="1" a="1"/>
  <c r="O2054" i="1" s="1"/>
  <c r="O2055" i="1" a="1"/>
  <c r="O2055" i="1"/>
  <c r="O2056" i="1" a="1"/>
  <c r="O2056" i="1" s="1"/>
  <c r="O2057" i="1" a="1"/>
  <c r="O2057" i="1" s="1"/>
  <c r="O2058" i="1" a="1"/>
  <c r="O2058" i="1"/>
  <c r="O2059" i="1" a="1"/>
  <c r="O2059" i="1"/>
  <c r="O2060" i="1" a="1"/>
  <c r="O2060" i="1" s="1"/>
  <c r="O2061" i="1" a="1"/>
  <c r="O2061" i="1" s="1"/>
  <c r="O2062" i="1" a="1"/>
  <c r="O2062" i="1"/>
  <c r="O2063" i="1" a="1"/>
  <c r="O2063" i="1" s="1"/>
  <c r="O2064" i="1" a="1"/>
  <c r="O2064" i="1" s="1"/>
  <c r="O2065" i="1" a="1"/>
  <c r="O2065" i="1"/>
  <c r="O2066" i="1" a="1"/>
  <c r="O2066" i="1" s="1"/>
  <c r="O2067" i="1" a="1"/>
  <c r="O2067" i="1" s="1"/>
  <c r="O2068" i="1" a="1"/>
  <c r="O2068" i="1" s="1"/>
  <c r="O2069" i="1" a="1"/>
  <c r="O2069" i="1" s="1"/>
  <c r="O2070" i="1" a="1"/>
  <c r="O2070" i="1"/>
  <c r="O2071" i="1" a="1"/>
  <c r="O2071" i="1" s="1"/>
  <c r="O2072" i="1" a="1"/>
  <c r="O2072" i="1" s="1"/>
  <c r="O2073" i="1" a="1"/>
  <c r="O2073" i="1" s="1"/>
  <c r="O2074" i="1" a="1"/>
  <c r="O2074" i="1" s="1"/>
  <c r="O2075" i="1" a="1"/>
  <c r="O2075" i="1" s="1"/>
  <c r="O2076" i="1" a="1"/>
  <c r="O2076" i="1" s="1"/>
  <c r="O2077" i="1" a="1"/>
  <c r="O2077" i="1"/>
  <c r="O2078" i="1" a="1"/>
  <c r="O2078" i="1" s="1"/>
  <c r="O2079" i="1" a="1"/>
  <c r="O2079" i="1"/>
  <c r="O2080" i="1" a="1"/>
  <c r="O2080" i="1" s="1"/>
  <c r="O2081" i="1" a="1"/>
  <c r="O2081" i="1" s="1"/>
  <c r="O2082" i="1" a="1"/>
  <c r="O2082" i="1"/>
  <c r="O2083" i="1" a="1"/>
  <c r="O2083" i="1" s="1"/>
  <c r="O2084" i="1" a="1"/>
  <c r="O2084" i="1" s="1"/>
  <c r="O2085" i="1" a="1"/>
  <c r="O2085" i="1" s="1"/>
  <c r="O2086" i="1" a="1"/>
  <c r="O2086" i="1"/>
  <c r="O2087" i="1" a="1"/>
  <c r="O2087" i="1" s="1"/>
  <c r="O2088" i="1" a="1"/>
  <c r="O2088" i="1"/>
  <c r="O2089" i="1" a="1"/>
  <c r="O2089" i="1"/>
  <c r="O2090" i="1" a="1"/>
  <c r="O2090" i="1" s="1"/>
  <c r="O2091" i="1" a="1"/>
  <c r="O2091" i="1"/>
  <c r="O2092" i="1" a="1"/>
  <c r="O2092" i="1" s="1"/>
  <c r="O2093" i="1" a="1"/>
  <c r="O2093" i="1" s="1"/>
  <c r="O2094" i="1" a="1"/>
  <c r="O2094" i="1"/>
  <c r="O2095" i="1" a="1"/>
  <c r="O2095" i="1"/>
  <c r="O2096" i="1" a="1"/>
  <c r="O2096" i="1" s="1"/>
  <c r="O2097" i="1" a="1"/>
  <c r="O2097" i="1" s="1"/>
  <c r="O2098" i="1" a="1"/>
  <c r="O2098" i="1"/>
  <c r="O2099" i="1" a="1"/>
  <c r="O2099" i="1" s="1"/>
  <c r="O2100" i="1" a="1"/>
  <c r="O2100" i="1" s="1"/>
  <c r="O2101" i="1" a="1"/>
  <c r="O2101" i="1"/>
  <c r="O2102" i="1" a="1"/>
  <c r="O2102" i="1" s="1"/>
  <c r="O2103" i="1" a="1"/>
  <c r="O2103" i="1" s="1"/>
  <c r="O2104" i="1" a="1"/>
  <c r="O2104" i="1" s="1"/>
  <c r="O2105" i="1" a="1"/>
  <c r="O2105" i="1" s="1"/>
  <c r="O2106" i="1" a="1"/>
  <c r="O2106" i="1"/>
  <c r="O2107" i="1" a="1"/>
  <c r="O2107" i="1" s="1"/>
  <c r="O2108" i="1" a="1"/>
  <c r="O2108" i="1" s="1"/>
  <c r="O2109" i="1" a="1"/>
  <c r="O2109" i="1" s="1"/>
  <c r="O2110" i="1" a="1"/>
  <c r="O2110" i="1" s="1"/>
  <c r="O2111" i="1" a="1"/>
  <c r="O2111" i="1" s="1"/>
  <c r="O2112" i="1" a="1"/>
  <c r="O2112" i="1" s="1"/>
  <c r="O2113" i="1" a="1"/>
  <c r="O2113" i="1"/>
  <c r="O2114" i="1" a="1"/>
  <c r="O2114" i="1" s="1"/>
  <c r="O2115" i="1" a="1"/>
  <c r="O2115" i="1"/>
  <c r="O2116" i="1" a="1"/>
  <c r="O2116" i="1" s="1"/>
  <c r="O2117" i="1" a="1"/>
  <c r="O2117" i="1" s="1"/>
  <c r="O2118" i="1" a="1"/>
  <c r="O2118" i="1"/>
  <c r="O2119" i="1" a="1"/>
  <c r="O2119" i="1" s="1"/>
  <c r="O2120" i="1" a="1"/>
  <c r="O2120" i="1" s="1"/>
  <c r="O2121" i="1" a="1"/>
  <c r="O2121" i="1" s="1"/>
  <c r="O2122" i="1" a="1"/>
  <c r="O2122" i="1"/>
  <c r="O2123" i="1" a="1"/>
  <c r="O2123" i="1" s="1"/>
  <c r="O2124" i="1" a="1"/>
  <c r="O2124" i="1"/>
  <c r="O2125" i="1" a="1"/>
  <c r="O2125" i="1"/>
  <c r="O2126" i="1" a="1"/>
  <c r="O2126" i="1" s="1"/>
  <c r="O2127" i="1" a="1"/>
  <c r="O2127" i="1"/>
  <c r="O2128" i="1" a="1"/>
  <c r="O2128" i="1" s="1"/>
  <c r="O2129" i="1" a="1"/>
  <c r="O2129" i="1" s="1"/>
  <c r="O2130" i="1" a="1"/>
  <c r="O2130" i="1"/>
  <c r="O2131" i="1" a="1"/>
  <c r="O2131" i="1"/>
  <c r="O2132" i="1" a="1"/>
  <c r="O2132" i="1" s="1"/>
  <c r="O2133" i="1" a="1"/>
  <c r="O2133" i="1" s="1"/>
  <c r="O2134" i="1" a="1"/>
  <c r="O2134" i="1"/>
  <c r="O2135" i="1" a="1"/>
  <c r="O2135" i="1" s="1"/>
  <c r="O2136" i="1" a="1"/>
  <c r="O2136" i="1" s="1"/>
  <c r="O2137" i="1" a="1"/>
  <c r="O2137" i="1"/>
  <c r="O2138" i="1" a="1"/>
  <c r="O2138" i="1" s="1"/>
  <c r="O2139" i="1" a="1"/>
  <c r="O2139" i="1" s="1"/>
  <c r="O2140" i="1" a="1"/>
  <c r="O2140" i="1" s="1"/>
  <c r="O2141" i="1" a="1"/>
  <c r="O2141" i="1" s="1"/>
  <c r="O2142" i="1" a="1"/>
  <c r="O2142" i="1"/>
  <c r="O2143" i="1" a="1"/>
  <c r="O2143" i="1" s="1"/>
  <c r="O2144" i="1" a="1"/>
  <c r="O2144" i="1" s="1"/>
  <c r="O2145" i="1" a="1"/>
  <c r="O2145" i="1" s="1"/>
  <c r="O2146" i="1" a="1"/>
  <c r="O2146" i="1" s="1"/>
  <c r="O2147" i="1" a="1"/>
  <c r="O2147" i="1" s="1"/>
  <c r="O2148" i="1" a="1"/>
  <c r="O2148" i="1" s="1"/>
  <c r="O2149" i="1" a="1"/>
  <c r="O2149" i="1"/>
  <c r="O2150" i="1" a="1"/>
  <c r="O2150" i="1" s="1"/>
  <c r="O2151" i="1" a="1"/>
  <c r="O2151" i="1"/>
  <c r="O2152" i="1" a="1"/>
  <c r="O2152" i="1" s="1"/>
  <c r="O2153" i="1" a="1"/>
  <c r="O2153" i="1" s="1"/>
  <c r="O2154" i="1" a="1"/>
  <c r="O2154" i="1"/>
  <c r="O2155" i="1" a="1"/>
  <c r="O2155" i="1" s="1"/>
  <c r="O2156" i="1" a="1"/>
  <c r="O2156" i="1" s="1"/>
  <c r="O2157" i="1" a="1"/>
  <c r="O2157" i="1" s="1"/>
  <c r="O2158" i="1" a="1"/>
  <c r="O2158" i="1"/>
  <c r="O2159" i="1" a="1"/>
  <c r="O2159" i="1" s="1"/>
  <c r="O2160" i="1" a="1"/>
  <c r="O2160" i="1"/>
  <c r="O2161" i="1" a="1"/>
  <c r="O2161" i="1"/>
  <c r="O2162" i="1" a="1"/>
  <c r="O2162" i="1" s="1"/>
  <c r="O2163" i="1" a="1"/>
  <c r="O2163" i="1"/>
  <c r="O2164" i="1" a="1"/>
  <c r="O2164" i="1" s="1"/>
  <c r="O2165" i="1" a="1"/>
  <c r="O2165" i="1" s="1"/>
  <c r="O2166" i="1" a="1"/>
  <c r="O2166" i="1"/>
  <c r="O2167" i="1" a="1"/>
  <c r="O2167" i="1"/>
  <c r="O2168" i="1" a="1"/>
  <c r="O2168" i="1" s="1"/>
  <c r="O2169" i="1" a="1"/>
  <c r="O2169" i="1" s="1"/>
  <c r="O2170" i="1" a="1"/>
  <c r="O2170" i="1"/>
  <c r="O2171" i="1" a="1"/>
  <c r="O2171" i="1" s="1"/>
  <c r="O2172" i="1" a="1"/>
  <c r="O2172" i="1" s="1"/>
  <c r="O2173" i="1" a="1"/>
  <c r="O2173" i="1"/>
  <c r="O2174" i="1" a="1"/>
  <c r="O2174" i="1" s="1"/>
  <c r="O2175" i="1" a="1"/>
  <c r="O2175" i="1" s="1"/>
  <c r="O2176" i="1" a="1"/>
  <c r="O2176" i="1" s="1"/>
  <c r="O2177" i="1" a="1"/>
  <c r="O2177" i="1" s="1"/>
  <c r="O2178" i="1" a="1"/>
  <c r="O2178" i="1"/>
  <c r="O2179" i="1" a="1"/>
  <c r="O2179" i="1" s="1"/>
  <c r="O2180" i="1" a="1"/>
  <c r="O2180" i="1" s="1"/>
  <c r="O2181" i="1" a="1"/>
  <c r="O2181" i="1" s="1"/>
  <c r="O2182" i="1" a="1"/>
  <c r="O2182" i="1" s="1"/>
  <c r="O2183" i="1" a="1"/>
  <c r="O2183" i="1" s="1"/>
  <c r="O2184" i="1" a="1"/>
  <c r="O2184" i="1" s="1"/>
  <c r="O2185" i="1" a="1"/>
  <c r="O2185" i="1"/>
  <c r="O2186" i="1" a="1"/>
  <c r="O2186" i="1" s="1"/>
  <c r="O2187" i="1" a="1"/>
  <c r="O2187" i="1"/>
  <c r="O2188" i="1" a="1"/>
  <c r="O2188" i="1" s="1"/>
  <c r="O2189" i="1" a="1"/>
  <c r="O2189" i="1" s="1"/>
  <c r="O2190" i="1" a="1"/>
  <c r="O2190" i="1"/>
  <c r="O2191" i="1" a="1"/>
  <c r="O2191" i="1" s="1"/>
  <c r="O2192" i="1" a="1"/>
  <c r="O2192" i="1" s="1"/>
  <c r="O2193" i="1" a="1"/>
  <c r="O2193" i="1" s="1"/>
  <c r="O2194" i="1" a="1"/>
  <c r="O2194" i="1"/>
  <c r="O2195" i="1" a="1"/>
  <c r="O2195" i="1" s="1"/>
  <c r="O2196" i="1" a="1"/>
  <c r="O2196" i="1"/>
  <c r="O2197" i="1" a="1"/>
  <c r="O2197" i="1"/>
  <c r="O2198" i="1" a="1"/>
  <c r="O2198" i="1" s="1"/>
  <c r="O2199" i="1" a="1"/>
  <c r="O2199" i="1"/>
  <c r="O2200" i="1" a="1"/>
  <c r="O2200" i="1" s="1"/>
  <c r="O2201" i="1" a="1"/>
  <c r="O2201" i="1" s="1"/>
  <c r="O2202" i="1" a="1"/>
  <c r="O2202" i="1"/>
  <c r="O2203" i="1" a="1"/>
  <c r="O2203" i="1"/>
  <c r="O2204" i="1" a="1"/>
  <c r="O2204" i="1" s="1"/>
  <c r="O2205" i="1" a="1"/>
  <c r="O2205" i="1" s="1"/>
  <c r="O2206" i="1" a="1"/>
  <c r="O2206" i="1"/>
  <c r="O2207" i="1" a="1"/>
  <c r="O2207" i="1" s="1"/>
  <c r="O2208" i="1" a="1"/>
  <c r="O2208" i="1" s="1"/>
  <c r="O2209" i="1" a="1"/>
  <c r="O2209" i="1"/>
  <c r="O2210" i="1" a="1"/>
  <c r="O2210" i="1" s="1"/>
  <c r="O2211" i="1" a="1"/>
  <c r="O2211" i="1" s="1"/>
  <c r="O2212" i="1" a="1"/>
  <c r="O2212" i="1" s="1"/>
  <c r="O2213" i="1" a="1"/>
  <c r="O2213" i="1" s="1"/>
  <c r="O2214" i="1" a="1"/>
  <c r="O2214" i="1"/>
  <c r="O2215" i="1" a="1"/>
  <c r="O2215" i="1" s="1"/>
  <c r="O2216" i="1" a="1"/>
  <c r="O2216" i="1" s="1"/>
  <c r="O2217" i="1" a="1"/>
  <c r="O2217" i="1" s="1"/>
  <c r="O2218" i="1" a="1"/>
  <c r="O2218" i="1" s="1"/>
  <c r="O2219" i="1" a="1"/>
  <c r="O2219" i="1" s="1"/>
  <c r="O2220" i="1" a="1"/>
  <c r="O2220" i="1" s="1"/>
  <c r="O2221" i="1" a="1"/>
  <c r="O2221" i="1"/>
  <c r="O2222" i="1" a="1"/>
  <c r="O2222" i="1" s="1"/>
  <c r="O2223" i="1" a="1"/>
  <c r="O2223" i="1"/>
  <c r="O2224" i="1" a="1"/>
  <c r="O2224" i="1" s="1"/>
  <c r="O2225" i="1" a="1"/>
  <c r="O2225" i="1" s="1"/>
  <c r="O2226" i="1" a="1"/>
  <c r="O2226" i="1"/>
  <c r="O2227" i="1" a="1"/>
  <c r="O2227" i="1" s="1"/>
  <c r="O2228" i="1" a="1"/>
  <c r="O2228" i="1" s="1"/>
  <c r="O2229" i="1" a="1"/>
  <c r="O2229" i="1" s="1"/>
  <c r="O2230" i="1" a="1"/>
  <c r="O2230" i="1"/>
  <c r="O2231" i="1" a="1"/>
  <c r="O2231" i="1" s="1"/>
  <c r="O2232" i="1" a="1"/>
  <c r="O2232" i="1"/>
  <c r="O2233" i="1" a="1"/>
  <c r="O2233" i="1"/>
  <c r="O2234" i="1" a="1"/>
  <c r="O2234" i="1" s="1"/>
  <c r="O2235" i="1" a="1"/>
  <c r="O2235" i="1"/>
  <c r="O2236" i="1" a="1"/>
  <c r="O2236" i="1" s="1"/>
  <c r="O2237" i="1" a="1"/>
  <c r="O2237" i="1" s="1"/>
  <c r="O2238" i="1" a="1"/>
  <c r="O2238" i="1"/>
  <c r="O2239" i="1" a="1"/>
  <c r="O2239" i="1"/>
  <c r="O2240" i="1" a="1"/>
  <c r="O2240" i="1" s="1"/>
  <c r="O2241" i="1" a="1"/>
  <c r="O2241" i="1" s="1"/>
  <c r="O2242" i="1" a="1"/>
  <c r="O2242" i="1"/>
  <c r="O2243" i="1" a="1"/>
  <c r="O2243" i="1" s="1"/>
  <c r="O2244" i="1" a="1"/>
  <c r="O2244" i="1" s="1"/>
  <c r="O2245" i="1" a="1"/>
  <c r="O2245" i="1"/>
  <c r="O2246" i="1" a="1"/>
  <c r="O2246" i="1" s="1"/>
  <c r="O2247" i="1" a="1"/>
  <c r="O2247" i="1" s="1"/>
  <c r="O2248" i="1" a="1"/>
  <c r="O2248" i="1" s="1"/>
  <c r="O2249" i="1" a="1"/>
  <c r="O2249" i="1" s="1"/>
  <c r="O2250" i="1" a="1"/>
  <c r="O2250" i="1"/>
  <c r="O2251" i="1" a="1"/>
  <c r="O2251" i="1" s="1"/>
  <c r="O2252" i="1" a="1"/>
  <c r="O2252" i="1" s="1"/>
  <c r="O2253" i="1" a="1"/>
  <c r="O2253" i="1" s="1"/>
  <c r="O2254" i="1" a="1"/>
  <c r="O2254" i="1" s="1"/>
  <c r="O2255" i="1" a="1"/>
  <c r="O2255" i="1" s="1"/>
  <c r="O2256" i="1" a="1"/>
  <c r="O2256" i="1" s="1"/>
  <c r="O2257" i="1" a="1"/>
  <c r="O2257" i="1"/>
  <c r="O2258" i="1" a="1"/>
  <c r="O2258" i="1" s="1"/>
  <c r="O2259" i="1" a="1"/>
  <c r="O2259" i="1"/>
  <c r="O2260" i="1" a="1"/>
  <c r="O2260" i="1" s="1"/>
  <c r="O2261" i="1" a="1"/>
  <c r="O2261" i="1" s="1"/>
  <c r="O2262" i="1" a="1"/>
  <c r="O2262" i="1"/>
  <c r="O2263" i="1" a="1"/>
  <c r="O2263" i="1" s="1"/>
  <c r="O2264" i="1" a="1"/>
  <c r="O2264" i="1" s="1"/>
  <c r="O2265" i="1" a="1"/>
  <c r="O2265" i="1" s="1"/>
  <c r="O2266" i="1" a="1"/>
  <c r="O2266" i="1"/>
  <c r="O2267" i="1" a="1"/>
  <c r="O2267" i="1" s="1"/>
  <c r="O2268" i="1" a="1"/>
  <c r="O2268" i="1"/>
  <c r="O2269" i="1" a="1"/>
  <c r="O2269" i="1"/>
  <c r="O2270" i="1" a="1"/>
  <c r="O2270" i="1" s="1"/>
  <c r="O2271" i="1" a="1"/>
  <c r="O2271" i="1"/>
  <c r="O2272" i="1" a="1"/>
  <c r="O2272" i="1" s="1"/>
  <c r="O2273" i="1" a="1"/>
  <c r="O2273" i="1" s="1"/>
  <c r="O2274" i="1" a="1"/>
  <c r="O2274" i="1"/>
  <c r="O2275" i="1" a="1"/>
  <c r="O2275" i="1"/>
  <c r="O2276" i="1" a="1"/>
  <c r="O2276" i="1" s="1"/>
  <c r="O2277" i="1" a="1"/>
  <c r="O2277" i="1" s="1"/>
  <c r="O2278" i="1" a="1"/>
  <c r="O2278" i="1"/>
  <c r="O2279" i="1" a="1"/>
  <c r="O2279" i="1" s="1"/>
  <c r="O2280" i="1" a="1"/>
  <c r="O2280" i="1" s="1"/>
  <c r="O2281" i="1" a="1"/>
  <c r="O2281" i="1"/>
  <c r="O2282" i="1" a="1"/>
  <c r="O2282" i="1" s="1"/>
  <c r="O2283" i="1" a="1"/>
  <c r="O2283" i="1" s="1"/>
  <c r="O2284" i="1" a="1"/>
  <c r="O2284" i="1" s="1"/>
  <c r="O2285" i="1" a="1"/>
  <c r="O2285" i="1" s="1"/>
  <c r="O2286" i="1" a="1"/>
  <c r="O2286" i="1"/>
  <c r="O2287" i="1" a="1"/>
  <c r="O2287" i="1" s="1"/>
  <c r="O2288" i="1" a="1"/>
  <c r="O2288" i="1" s="1"/>
  <c r="O2289" i="1" a="1"/>
  <c r="O2289" i="1" s="1"/>
  <c r="O2290" i="1" a="1"/>
  <c r="O2290" i="1" s="1"/>
  <c r="O2291" i="1" a="1"/>
  <c r="O2291" i="1" s="1"/>
  <c r="O2292" i="1" a="1"/>
  <c r="O2292" i="1" s="1"/>
  <c r="O2293" i="1" a="1"/>
  <c r="O2293" i="1"/>
  <c r="O2294" i="1" a="1"/>
  <c r="O2294" i="1" s="1"/>
  <c r="O2295" i="1" a="1"/>
  <c r="O2295" i="1"/>
  <c r="O2296" i="1" a="1"/>
  <c r="O2296" i="1" s="1"/>
  <c r="O2297" i="1" a="1"/>
  <c r="O2297" i="1" s="1"/>
  <c r="O2298" i="1" a="1"/>
  <c r="O2298" i="1"/>
  <c r="O2299" i="1" a="1"/>
  <c r="O2299" i="1" s="1"/>
  <c r="O2300" i="1" a="1"/>
  <c r="O2300" i="1" s="1"/>
  <c r="O2301" i="1" a="1"/>
  <c r="O2301" i="1"/>
  <c r="O2302" i="1" a="1"/>
  <c r="O2302" i="1"/>
  <c r="O2303" i="1" a="1"/>
  <c r="O2303" i="1" s="1"/>
  <c r="O2304" i="1" a="1"/>
  <c r="O2304" i="1"/>
  <c r="O2305" i="1" a="1"/>
  <c r="O2305" i="1"/>
  <c r="O2306" i="1" a="1"/>
  <c r="O2306" i="1" s="1"/>
  <c r="O2307" i="1" a="1"/>
  <c r="O2307" i="1"/>
  <c r="O2308" i="1" a="1"/>
  <c r="O2308" i="1"/>
  <c r="O2309" i="1" a="1"/>
  <c r="O2309" i="1" s="1"/>
  <c r="O2310" i="1" a="1"/>
  <c r="O2310" i="1"/>
  <c r="O2311" i="1" a="1"/>
  <c r="O2311" i="1"/>
  <c r="O2312" i="1" a="1"/>
  <c r="O2312" i="1" s="1"/>
  <c r="O2313" i="1" a="1"/>
  <c r="O2313" i="1" s="1"/>
  <c r="O2314" i="1" a="1"/>
  <c r="O2314" i="1"/>
  <c r="O2315" i="1" a="1"/>
  <c r="O2315" i="1" s="1"/>
  <c r="O2316" i="1" a="1"/>
  <c r="O2316" i="1" s="1"/>
  <c r="O2317" i="1" a="1"/>
  <c r="O2317" i="1"/>
  <c r="O2318" i="1" a="1"/>
  <c r="O2318" i="1" s="1"/>
  <c r="O2319" i="1" a="1"/>
  <c r="O2319" i="1" s="1"/>
  <c r="O2320" i="1" a="1"/>
  <c r="O2320" i="1" s="1"/>
  <c r="O2321" i="1" a="1"/>
  <c r="O2321" i="1" s="1"/>
  <c r="O2322" i="1" a="1"/>
  <c r="O2322" i="1"/>
  <c r="O2323" i="1" a="1"/>
  <c r="O2323" i="1" s="1"/>
  <c r="O2324" i="1" a="1"/>
  <c r="O2324" i="1" s="1"/>
  <c r="O2325" i="1" a="1"/>
  <c r="O2325" i="1" s="1"/>
  <c r="O2326" i="1" a="1"/>
  <c r="O2326" i="1" s="1"/>
  <c r="O2327" i="1" a="1"/>
  <c r="O2327" i="1" s="1"/>
  <c r="O2328" i="1" a="1"/>
  <c r="O2328" i="1" s="1"/>
  <c r="O2329" i="1" a="1"/>
  <c r="O2329" i="1"/>
  <c r="O2330" i="1" a="1"/>
  <c r="O2330" i="1" s="1"/>
  <c r="O2331" i="1" a="1"/>
  <c r="O2331" i="1"/>
  <c r="O2332" i="1" a="1"/>
  <c r="O2332" i="1" s="1"/>
  <c r="O2333" i="1" a="1"/>
  <c r="O2333" i="1" s="1"/>
  <c r="O2334" i="1" a="1"/>
  <c r="O2334" i="1"/>
  <c r="O2335" i="1" a="1"/>
  <c r="O2335" i="1" s="1"/>
  <c r="O2336" i="1" a="1"/>
  <c r="O2336" i="1" s="1"/>
  <c r="O2337" i="1" a="1"/>
  <c r="O2337" i="1"/>
  <c r="O2338" i="1" a="1"/>
  <c r="O2338" i="1"/>
  <c r="O2339" i="1" a="1"/>
  <c r="O2339" i="1" s="1"/>
  <c r="O2340" i="1" a="1"/>
  <c r="O2340" i="1"/>
  <c r="O2341" i="1" a="1"/>
  <c r="O2341" i="1"/>
  <c r="O2342" i="1" a="1"/>
  <c r="O2342" i="1" s="1"/>
  <c r="O2343" i="1" a="1"/>
  <c r="O2343" i="1"/>
  <c r="O2344" i="1" a="1"/>
  <c r="O2344" i="1"/>
  <c r="O2345" i="1" a="1"/>
  <c r="O2345" i="1" s="1"/>
  <c r="O2346" i="1" a="1"/>
  <c r="O2346" i="1"/>
  <c r="O2347" i="1" a="1"/>
  <c r="O2347" i="1"/>
  <c r="O2348" i="1" a="1"/>
  <c r="O2348" i="1"/>
  <c r="O2349" i="1" a="1"/>
  <c r="O2349" i="1" s="1"/>
  <c r="O2350" i="1" a="1"/>
  <c r="O2350" i="1"/>
  <c r="O2351" i="1" a="1"/>
  <c r="O2351" i="1" s="1"/>
  <c r="O2352" i="1" a="1"/>
  <c r="O2352" i="1"/>
  <c r="O2353" i="1" a="1"/>
  <c r="O2353" i="1"/>
  <c r="O2354" i="1" a="1"/>
  <c r="O2354" i="1"/>
  <c r="O2355" i="1" a="1"/>
  <c r="O2355" i="1" s="1"/>
  <c r="O2356" i="1" a="1"/>
  <c r="O2356" i="1"/>
  <c r="O2357" i="1" a="1"/>
  <c r="O2357" i="1" s="1"/>
  <c r="O2358" i="1" a="1"/>
  <c r="O2358" i="1"/>
  <c r="O2359" i="1" a="1"/>
  <c r="O2359" i="1"/>
  <c r="O2360" i="1" a="1"/>
  <c r="O2360" i="1"/>
  <c r="O2361" i="1" a="1"/>
  <c r="O2361" i="1" s="1"/>
  <c r="O2362" i="1" a="1"/>
  <c r="O2362" i="1"/>
  <c r="O2363" i="1" a="1"/>
  <c r="O2363" i="1" s="1"/>
  <c r="O2364" i="1" a="1"/>
  <c r="O2364" i="1"/>
  <c r="O2365" i="1" a="1"/>
  <c r="O2365" i="1"/>
  <c r="O2366" i="1" a="1"/>
  <c r="O2366" i="1"/>
  <c r="O2367" i="1" a="1"/>
  <c r="O2367" i="1" s="1"/>
  <c r="O2368" i="1" a="1"/>
  <c r="O2368" i="1"/>
  <c r="O2369" i="1" a="1"/>
  <c r="O2369" i="1" s="1"/>
  <c r="O2370" i="1" a="1"/>
  <c r="O2370" i="1"/>
  <c r="O2371" i="1" a="1"/>
  <c r="O2371" i="1"/>
  <c r="O2372" i="1" a="1"/>
  <c r="O2372" i="1"/>
  <c r="O2373" i="1" a="1"/>
  <c r="O2373" i="1" s="1"/>
  <c r="O2374" i="1" a="1"/>
  <c r="O2374" i="1"/>
  <c r="O2375" i="1" a="1"/>
  <c r="O2375" i="1" s="1"/>
  <c r="O2376" i="1" a="1"/>
  <c r="O2376" i="1"/>
  <c r="O2377" i="1" a="1"/>
  <c r="O2377" i="1"/>
  <c r="O2378" i="1" a="1"/>
  <c r="O2378" i="1"/>
  <c r="O2379" i="1" a="1"/>
  <c r="O2379" i="1" s="1"/>
  <c r="O2380" i="1" a="1"/>
  <c r="O2380" i="1"/>
  <c r="O2381" i="1" a="1"/>
  <c r="O2381" i="1" s="1"/>
  <c r="O2382" i="1" a="1"/>
  <c r="O2382" i="1"/>
  <c r="O2383" i="1" a="1"/>
  <c r="O2383" i="1"/>
  <c r="O2384" i="1" a="1"/>
  <c r="O2384" i="1"/>
  <c r="O2385" i="1" a="1"/>
  <c r="O2385" i="1" s="1"/>
  <c r="O2386" i="1" a="1"/>
  <c r="O2386" i="1"/>
  <c r="O2387" i="1" a="1"/>
  <c r="O2387" i="1" s="1"/>
  <c r="O2388" i="1" a="1"/>
  <c r="O2388" i="1"/>
  <c r="O2389" i="1" a="1"/>
  <c r="O2389" i="1"/>
  <c r="O2390" i="1" a="1"/>
  <c r="O2390" i="1"/>
  <c r="O2391" i="1" a="1"/>
  <c r="O2391" i="1" s="1"/>
  <c r="O2392" i="1" a="1"/>
  <c r="O2392" i="1"/>
  <c r="O2393" i="1" a="1"/>
  <c r="O2393" i="1" s="1"/>
  <c r="O2394" i="1" a="1"/>
  <c r="O2394" i="1"/>
  <c r="O2395" i="1" a="1"/>
  <c r="O2395" i="1"/>
  <c r="O2396" i="1" a="1"/>
  <c r="O2396" i="1"/>
  <c r="O2397" i="1" a="1"/>
  <c r="O2397" i="1" s="1"/>
  <c r="O2398" i="1" a="1"/>
  <c r="O2398" i="1"/>
  <c r="O2399" i="1" a="1"/>
  <c r="O2399" i="1" s="1"/>
  <c r="O2400" i="1" a="1"/>
  <c r="O2400" i="1"/>
  <c r="O2401" i="1" a="1"/>
  <c r="O24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<sst xmlns="http://schemas.openxmlformats.org/spreadsheetml/2006/main" count="14808" uniqueCount="2542">
  <si>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</si>
  <si>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</si>
  <si>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</si>
  <si>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</si>
  <si>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</si>
  <si>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</si>
  <si>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</si>
  <si>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</si>
  <si>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</si>
  <si>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</si>
  <si>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</si>
  <si>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</si>
  <si>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</si>
  <si>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</si>
  <si>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</si>
  <si>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</si>
  <si>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</si>
  <si>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</si>
  <si>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</si>
  <si>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</si>
  <si>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</si>
  <si>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</si>
  <si>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</si>
  <si>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</si>
  <si>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</si>
  <si>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</si>
  <si>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</si>
  <si>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</si>
  <si>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</si>
  <si>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</si>
  <si>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</si>
  <si>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</si>
  <si>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</si>
  <si>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</si>
  <si>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</si>
  <si>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</si>
  <si>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</si>
  <si>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</si>
  <si>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</si>
  <si>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</si>
  <si>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</si>
  <si>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</si>
  <si>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</si>
  <si>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</si>
  <si>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</si>
  <si>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</si>
  <si>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</si>
  <si>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</si>
  <si>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</si>
  <si>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</si>
  <si>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</si>
  <si>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</si>
  <si>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</si>
  <si>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</si>
  <si>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</si>
  <si>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</si>
  <si>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</si>
  <si>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</si>
  <si>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</si>
  <si>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</si>
  <si>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</si>
  <si>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</si>
  <si>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</si>
  <si>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</si>
  <si>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</si>
  <si>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</si>
  <si>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</si>
  <si>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</si>
  <si>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</si>
  <si>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</si>
  <si>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</si>
  <si>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</si>
  <si>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</si>
  <si>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</si>
  <si>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</si>
  <si>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</si>
  <si>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</si>
  <si>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</si>
  <si>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</si>
  <si>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</si>
  <si>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</si>
  <si>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</si>
  <si>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</si>
  <si>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</si>
  <si>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</si>
  <si>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</si>
  <si>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</si>
  <si>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</si>
  <si>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</si>
  <si>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</si>
  <si>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</si>
  <si>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</si>
  <si>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</si>
  <si>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</si>
  <si>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</si>
  <si>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</si>
  <si>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</si>
  <si>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</si>
  <si>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</si>
  <si>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</si>
  <si>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</si>
  <si>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</si>
  <si>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</si>
  <si>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</si>
  <si>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</si>
  <si>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</si>
  <si>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</si>
  <si>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</si>
  <si>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</si>
  <si>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</si>
  <si>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</si>
  <si>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</si>
  <si>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</si>
  <si>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</si>
  <si>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</si>
  <si>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</si>
  <si>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</si>
  <si>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</si>
  <si>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</si>
  <si>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</si>
  <si>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</si>
  <si>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</si>
  <si>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</si>
  <si>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</si>
  <si>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</si>
  <si>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</si>
  <si>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</si>
  <si>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</si>
  <si>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</si>
  <si>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</si>
  <si>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</si>
  <si>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</si>
  <si>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</si>
  <si>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</si>
  <si>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</si>
  <si>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</si>
  <si>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</si>
  <si>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</si>
  <si>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</si>
  <si>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</si>
  <si>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</si>
  <si>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</si>
  <si>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</si>
  <si>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</si>
  <si>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</si>
  <si>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</si>
  <si>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</si>
  <si>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</si>
  <si>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</si>
  <si>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</si>
  <si>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</si>
  <si>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</si>
  <si>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</si>
  <si>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</si>
  <si>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</si>
  <si>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</si>
  <si>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</si>
  <si>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</si>
  <si>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</si>
  <si>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</si>
  <si>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</si>
  <si>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</si>
  <si>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</si>
  <si>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</si>
  <si>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</si>
  <si>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</si>
  <si>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</si>
  <si>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</si>
  <si>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</si>
  <si>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</si>
  <si>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</si>
  <si>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</si>
  <si>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</si>
  <si>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</si>
  <si>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</si>
  <si>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</si>
  <si>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</si>
  <si>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</si>
  <si>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</si>
  <si>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</si>
  <si>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</si>
  <si>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</si>
  <si>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</si>
  <si>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</si>
  <si>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</si>
  <si>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</si>
  <si>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</si>
  <si>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</si>
  <si>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</si>
  <si>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</si>
  <si>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</si>
  <si>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</si>
  <si>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</si>
  <si>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</si>
  <si>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</si>
  <si>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</si>
  <si>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</si>
  <si>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</si>
  <si>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</si>
  <si>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</si>
  <si>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</si>
  <si>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</si>
  <si>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</si>
  <si>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</si>
  <si>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</si>
  <si>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</si>
  <si>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</si>
  <si>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</si>
  <si>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</si>
  <si>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</si>
  <si>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</si>
  <si>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</si>
  <si>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</si>
  <si>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</si>
  <si>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</si>
  <si>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</si>
  <si>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</si>
  <si>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</si>
  <si>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</si>
  <si>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</si>
  <si>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</si>
  <si>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</si>
  <si>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</si>
  <si>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</si>
  <si>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</si>
  <si>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</si>
  <si>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</si>
  <si>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</si>
  <si>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</si>
  <si>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</si>
  <si>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</si>
  <si>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</si>
  <si>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</si>
  <si>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</si>
  <si>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</si>
  <si>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</si>
  <si>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</si>
  <si>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</si>
  <si>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</si>
  <si>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</si>
  <si>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</si>
  <si>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</si>
  <si>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</si>
  <si>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</si>
  <si>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</si>
  <si>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</si>
  <si>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</si>
  <si>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</si>
  <si>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</si>
  <si>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</si>
  <si>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</si>
  <si>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</si>
  <si>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</si>
  <si>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</si>
  <si>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</si>
  <si>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</si>
  <si>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</si>
  <si>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</si>
  <si>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</si>
  <si>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</si>
  <si>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</si>
  <si>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</si>
  <si>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</si>
  <si>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</si>
  <si>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</si>
  <si>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</si>
  <si>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</si>
  <si>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</si>
  <si>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</si>
  <si>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</si>
  <si>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</si>
  <si>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</si>
  <si>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</si>
  <si>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</si>
  <si>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</si>
  <si>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</si>
  <si>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</si>
  <si>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</si>
  <si>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</si>
  <si>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</si>
  <si>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</si>
  <si>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</si>
  <si>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</si>
  <si>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</si>
  <si>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</si>
  <si>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</si>
  <si>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</si>
  <si>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</si>
  <si>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</si>
  <si>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</si>
  <si>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</si>
  <si>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</si>
  <si>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</si>
  <si>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</si>
  <si>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</si>
  <si>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</si>
  <si>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</si>
  <si>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</si>
  <si>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</si>
  <si>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</si>
  <si>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</si>
  <si>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</si>
  <si>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</si>
  <si>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</si>
  <si>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</si>
  <si>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</si>
  <si>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</si>
  <si>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</si>
  <si>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</si>
  <si>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</si>
  <si>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</si>
  <si>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</si>
  <si>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</si>
  <si>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</si>
  <si>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</si>
  <si>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</si>
  <si>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</si>
  <si>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</si>
  <si>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</si>
  <si>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</si>
  <si>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</si>
  <si>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</si>
  <si>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</si>
  <si>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</si>
  <si>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</si>
  <si>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</si>
  <si>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</si>
  <si>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</si>
  <si>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</si>
  <si>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</si>
  <si>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</si>
  <si>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</si>
  <si>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</si>
  <si>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</si>
  <si>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</si>
  <si>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</si>
  <si>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</si>
  <si>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</si>
  <si>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</si>
  <si>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</si>
  <si>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</si>
  <si>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</si>
  <si>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</si>
  <si>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</si>
  <si>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</si>
  <si>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</si>
  <si>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</si>
  <si>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</si>
  <si>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</si>
  <si>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</si>
  <si>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</si>
  <si>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</si>
  <si>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</si>
  <si>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</si>
  <si>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</si>
  <si>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</si>
  <si>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</si>
  <si>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</si>
  <si>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</si>
  <si>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</si>
  <si>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</si>
  <si>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</si>
  <si>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</si>
  <si>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</si>
  <si>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</si>
  <si>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</si>
  <si>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</si>
  <si>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</si>
  <si>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</si>
  <si>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</si>
  <si>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</si>
  <si>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</si>
  <si>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</si>
  <si>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</si>
  <si>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</si>
  <si>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</si>
  <si>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</si>
  <si>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</si>
  <si>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</si>
  <si>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</si>
  <si>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</si>
  <si>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</si>
  <si>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</si>
  <si>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</si>
  <si>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</si>
  <si>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</si>
  <si>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</si>
  <si>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</si>
  <si>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</si>
  <si>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</si>
  <si>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</si>
  <si>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</si>
  <si>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</si>
  <si>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</si>
  <si>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</si>
  <si>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</si>
  <si>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</si>
  <si>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</si>
  <si>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</si>
  <si>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</si>
  <si>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</si>
  <si>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</si>
  <si>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</si>
  <si>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</si>
  <si>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</si>
  <si>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</si>
  <si>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</si>
  <si>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</si>
  <si>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</si>
  <si>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</si>
  <si>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</si>
  <si>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</si>
  <si>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</si>
  <si>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</si>
  <si>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</si>
  <si>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</si>
  <si>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</si>
  <si>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</si>
  <si>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</si>
  <si>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</si>
  <si>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</si>
  <si>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</si>
  <si>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</si>
  <si>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</si>
  <si>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</si>
  <si>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</si>
  <si>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</si>
  <si>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</si>
  <si>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</si>
  <si>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</si>
  <si>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</si>
  <si>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</si>
  <si>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</si>
  <si>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</si>
  <si>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</si>
  <si>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</si>
  <si>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</si>
  <si>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</si>
  <si>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</si>
  <si>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</si>
  <si>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</si>
  <si>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</si>
  <si>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</si>
  <si>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</si>
  <si>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</si>
  <si>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</si>
  <si>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</si>
  <si>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</si>
  <si>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</si>
  <si>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</si>
  <si>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</si>
  <si>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</si>
  <si>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</si>
  <si>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</si>
  <si>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</si>
  <si>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</si>
  <si>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</si>
  <si>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</si>
  <si>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</si>
  <si>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</si>
  <si>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</si>
  <si>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</si>
  <si>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</si>
  <si>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</si>
  <si>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</si>
  <si>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</si>
  <si>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</si>
  <si>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</si>
  <si>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</si>
  <si>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</si>
  <si>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</si>
  <si>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</si>
  <si>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</si>
  <si>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</si>
  <si>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</si>
  <si>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</si>
  <si>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</si>
  <si>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</si>
  <si>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</si>
  <si>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</si>
  <si>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</si>
  <si>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</si>
  <si>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</si>
  <si>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</si>
  <si>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</si>
  <si>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</si>
  <si>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</si>
  <si>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</si>
  <si>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</si>
  <si>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</si>
  <si>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</si>
  <si>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</si>
  <si>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</si>
  <si>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</si>
  <si>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</si>
  <si>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</si>
  <si>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</si>
  <si>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</si>
  <si>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</si>
  <si>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</si>
  <si>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</si>
  <si>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</si>
  <si>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</si>
  <si>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</si>
  <si>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</si>
  <si>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</si>
  <si>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</si>
  <si>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</si>
  <si>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</si>
  <si>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</si>
  <si>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</si>
  <si>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</si>
  <si>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</si>
  <si>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</si>
  <si>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</si>
  <si>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</si>
  <si>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</si>
  <si>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</si>
  <si>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</si>
  <si>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</si>
  <si>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</si>
  <si>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</si>
  <si>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</si>
  <si>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</si>
  <si>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</si>
  <si>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</si>
  <si>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</si>
  <si>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</si>
  <si>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</si>
  <si>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</si>
  <si>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</si>
  <si>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</si>
  <si>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</si>
  <si>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</si>
  <si>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</si>
  <si>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</si>
  <si>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</si>
  <si>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</si>
  <si>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</si>
  <si>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</si>
  <si>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</si>
  <si>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</si>
  <si>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</si>
  <si>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</si>
  <si>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</si>
  <si>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</si>
  <si>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</si>
  <si>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</si>
  <si>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</si>
  <si>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</si>
  <si>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</si>
  <si>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</si>
  <si>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</si>
  <si>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</si>
  <si>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</si>
  <si>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</si>
  <si>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</si>
  <si>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</si>
  <si>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</si>
  <si>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</si>
  <si>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</si>
  <si>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</si>
  <si>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</si>
  <si>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</si>
  <si>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</si>
  <si>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</si>
  <si>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</si>
  <si>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</si>
  <si>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</si>
  <si>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</si>
  <si>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</si>
  <si>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</si>
  <si>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</si>
  <si>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</si>
  <si>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</si>
  <si>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</si>
  <si>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</si>
  <si>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</si>
  <si>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</si>
  <si>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</si>
  <si>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</si>
  <si>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</si>
  <si>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</si>
  <si>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</si>
  <si>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</si>
  <si>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</si>
  <si>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</si>
  <si>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</si>
  <si>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</si>
  <si>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</si>
  <si>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</si>
  <si>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</si>
  <si>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</si>
  <si>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</si>
  <si>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</si>
  <si>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</si>
  <si>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</si>
  <si>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</si>
  <si>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</si>
  <si>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</si>
  <si>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</si>
  <si>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</si>
  <si>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</si>
  <si>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</si>
  <si>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</si>
  <si>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</si>
  <si>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</si>
  <si>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</si>
  <si>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</si>
  <si>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</si>
  <si>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</si>
  <si>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</si>
  <si>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</si>
  <si>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</si>
  <si>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</si>
  <si>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</si>
  <si>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</si>
  <si>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</si>
  <si>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</si>
  <si>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</si>
  <si>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</si>
  <si>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</si>
  <si>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</si>
  <si>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</si>
  <si>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</si>
  <si>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</si>
  <si>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</si>
  <si>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</si>
  <si>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</si>
  <si>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</si>
  <si>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</si>
  <si>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</si>
  <si>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</si>
  <si>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</si>
  <si>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</si>
  <si>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</si>
  <si>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</si>
  <si>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</si>
  <si>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</si>
  <si>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</si>
  <si>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</si>
  <si>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</si>
  <si>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</si>
  <si>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</si>
  <si>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</si>
  <si>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</si>
  <si>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</si>
  <si>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</si>
  <si>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</si>
  <si>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</si>
  <si>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</si>
  <si>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</si>
  <si>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</si>
  <si>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</si>
  <si>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</si>
  <si>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</si>
  <si>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</si>
  <si>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</si>
  <si>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</si>
  <si>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</si>
  <si>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</si>
  <si>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</si>
  <si>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</si>
  <si>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</si>
  <si>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</si>
  <si>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</si>
  <si>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</si>
  <si>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</si>
  <si>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</si>
  <si>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</si>
  <si>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</si>
  <si>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</si>
  <si>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</si>
  <si>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</si>
  <si>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</si>
  <si>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</si>
  <si>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</si>
  <si>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</si>
  <si>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</si>
  <si>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</si>
  <si>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</si>
  <si>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</si>
  <si>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</si>
  <si>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</si>
  <si>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</si>
  <si>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</si>
  <si>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</si>
  <si>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</si>
  <si>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</si>
  <si>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</si>
  <si>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</si>
  <si>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</si>
  <si>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</si>
  <si>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</si>
  <si>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</si>
  <si>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</si>
  <si>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</si>
  <si>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</si>
  <si>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</si>
  <si>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</si>
  <si>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</si>
  <si>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</si>
  <si>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</si>
  <si>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</si>
  <si>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</si>
  <si>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</si>
  <si>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</si>
  <si>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</si>
  <si>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</si>
  <si>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</si>
  <si>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</si>
  <si>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</si>
  <si>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</si>
  <si>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</si>
  <si>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</si>
  <si>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</si>
  <si>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</si>
  <si>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</si>
  <si>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</si>
  <si>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</si>
  <si>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</si>
  <si>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</si>
  <si>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</si>
  <si>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</si>
  <si>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</si>
  <si>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</si>
  <si>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</si>
  <si>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</si>
  <si>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</si>
  <si>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</si>
  <si>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</si>
  <si>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</si>
  <si>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</si>
  <si>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</si>
  <si>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</si>
  <si>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</si>
  <si>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</si>
  <si>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</si>
  <si>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</si>
  <si>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</si>
  <si>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</si>
  <si>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</si>
  <si>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</si>
  <si>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</si>
  <si>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</si>
  <si>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</si>
  <si>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</si>
  <si>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</si>
  <si>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</si>
  <si>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</si>
  <si>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</si>
  <si>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</si>
  <si>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</si>
  <si>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</si>
  <si>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</si>
  <si>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</si>
  <si>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</si>
  <si>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</si>
  <si>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</si>
  <si>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</si>
  <si>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</si>
  <si>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</si>
  <si>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</si>
  <si>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</si>
  <si>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</si>
  <si>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</si>
  <si>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</si>
  <si>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</si>
  <si>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</si>
  <si>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</si>
  <si>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</si>
  <si>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</si>
  <si>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</si>
  <si>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</si>
  <si>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</si>
  <si>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</si>
  <si>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</si>
  <si>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</si>
  <si>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</si>
  <si>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</si>
  <si>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</si>
  <si>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</si>
  <si>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</si>
  <si>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</si>
  <si>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</si>
  <si>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</si>
  <si>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</si>
  <si>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</si>
  <si>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</si>
  <si>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</si>
  <si>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</si>
  <si>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</si>
  <si>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</si>
  <si>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</si>
  <si>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</si>
  <si>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</si>
  <si>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</si>
  <si>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</si>
  <si>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</si>
  <si>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</si>
  <si>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</si>
  <si>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</si>
  <si>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</si>
  <si>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</si>
  <si>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</si>
  <si>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</si>
  <si>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</si>
  <si>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</si>
  <si>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</si>
  <si>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</si>
  <si>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</si>
  <si>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</si>
  <si>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</si>
  <si>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</si>
  <si>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</si>
  <si>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</si>
  <si>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</si>
  <si>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</si>
  <si>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</si>
  <si>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</si>
  <si>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</si>
  <si>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</si>
  <si>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</si>
  <si>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</si>
  <si>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</si>
  <si>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</si>
  <si>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</si>
  <si>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</si>
  <si>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</si>
  <si>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</si>
  <si>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</si>
  <si>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</si>
  <si>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</si>
  <si>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</si>
  <si>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</si>
  <si>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</si>
  <si>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</si>
  <si>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</si>
  <si>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</si>
  <si>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</si>
  <si>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</si>
  <si>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</si>
  <si>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</si>
  <si>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</si>
  <si>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</si>
  <si>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</si>
  <si>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</si>
  <si>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</si>
  <si>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</si>
  <si>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</si>
  <si>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</si>
  <si>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</si>
  <si>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</si>
  <si>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</si>
  <si>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</si>
  <si>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</si>
  <si>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</si>
  <si>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</si>
  <si>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</si>
  <si>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</si>
  <si>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</si>
  <si>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</si>
  <si>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</si>
  <si>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</si>
  <si>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</si>
  <si>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</si>
  <si>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</si>
  <si>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</si>
  <si>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</si>
  <si>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</si>
  <si>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</si>
  <si>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</si>
  <si>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</si>
  <si>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</si>
  <si>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</si>
  <si>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</si>
  <si>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</si>
  <si>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</si>
  <si>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</si>
  <si>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</si>
  <si>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</si>
  <si>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</si>
  <si>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</si>
  <si>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</si>
  <si>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</si>
  <si>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</si>
  <si>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</si>
  <si>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</si>
  <si>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</si>
  <si>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</si>
  <si>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</si>
  <si>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</si>
  <si>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</si>
  <si>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</si>
  <si>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</si>
  <si>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</si>
  <si>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</si>
  <si>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</si>
  <si>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</si>
  <si>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</si>
  <si>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</si>
  <si>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</si>
  <si>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</si>
  <si>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</si>
  <si>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</si>
  <si>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</si>
  <si>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</si>
  <si>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</si>
  <si>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</si>
  <si>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</si>
  <si>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</si>
  <si>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</si>
  <si>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</si>
  <si>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</si>
  <si>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</si>
  <si>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</si>
  <si>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</si>
  <si>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</si>
  <si>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</si>
  <si>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</si>
  <si>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</si>
  <si>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</si>
  <si>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</si>
  <si>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</si>
  <si>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</si>
  <si>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</si>
  <si>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</si>
  <si>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</si>
  <si>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</si>
  <si>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</si>
  <si>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</si>
  <si>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</si>
  <si>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</si>
  <si>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</si>
  <si>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</si>
  <si>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</si>
  <si>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</si>
  <si>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</si>
  <si>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</si>
  <si>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</si>
  <si>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</si>
  <si>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</si>
  <si>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</si>
  <si>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</si>
  <si>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</si>
  <si>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</si>
  <si>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</si>
  <si>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</si>
  <si>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</si>
  <si>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</si>
  <si>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</si>
  <si>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</si>
  <si>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</si>
  <si>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</si>
  <si>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</si>
  <si>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</si>
  <si>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</si>
  <si>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</si>
  <si>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</si>
  <si>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</si>
  <si>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</si>
  <si>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</si>
  <si>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</si>
  <si>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</si>
  <si>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</si>
  <si>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</si>
  <si>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</si>
  <si>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</si>
  <si>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</si>
  <si>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</si>
  <si>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</si>
  <si>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</si>
  <si>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</si>
  <si>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</si>
  <si>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</si>
  <si>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</si>
  <si>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</si>
  <si>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</si>
  <si>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</si>
  <si>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</si>
  <si>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</si>
  <si>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</si>
  <si>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</si>
  <si>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</si>
  <si>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</si>
  <si>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</si>
  <si>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</si>
  <si>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</si>
  <si>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</si>
  <si>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</si>
  <si>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</si>
  <si>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</si>
  <si>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</si>
  <si>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</si>
  <si>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</si>
  <si>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</si>
  <si>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</si>
  <si>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</si>
  <si>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</si>
  <si>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</si>
  <si>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</si>
  <si>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</si>
  <si>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</si>
  <si>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</si>
  <si>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</si>
  <si>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</si>
  <si>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</si>
  <si>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</si>
  <si>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</si>
  <si>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</si>
  <si>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</si>
  <si>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</si>
  <si>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</si>
  <si>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</si>
  <si>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</si>
  <si>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</si>
  <si>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</si>
  <si>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</si>
  <si>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</si>
  <si>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</si>
  <si>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</si>
  <si>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</si>
  <si>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</si>
  <si>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</si>
  <si>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</si>
  <si>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</si>
  <si>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</si>
  <si>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</si>
  <si>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</si>
  <si>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</si>
  <si>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</si>
  <si>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</si>
  <si>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</si>
  <si>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</si>
  <si>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</si>
  <si>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</si>
  <si>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</si>
  <si>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</si>
  <si>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</si>
  <si>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</si>
  <si>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</si>
  <si>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</si>
  <si>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</si>
  <si>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</si>
  <si>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</si>
  <si>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</si>
  <si>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</si>
  <si>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</si>
  <si>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</si>
  <si>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</si>
  <si>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</si>
  <si>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</si>
  <si>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</si>
  <si>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</si>
  <si>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</si>
  <si>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</si>
  <si>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</si>
  <si>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</si>
  <si>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</si>
  <si>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</si>
  <si>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</si>
  <si>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</si>
  <si>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</si>
  <si>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</si>
  <si>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</si>
  <si>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</si>
  <si>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</si>
  <si>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</si>
  <si>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</si>
  <si>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</si>
  <si>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</si>
  <si>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</si>
  <si>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</si>
  <si>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</si>
  <si>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</si>
  <si>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</si>
  <si>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</si>
  <si>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</si>
  <si>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</si>
  <si>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</si>
  <si>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</si>
  <si>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</si>
  <si>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</si>
  <si>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</si>
  <si>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</si>
  <si>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</si>
  <si>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</si>
  <si>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</si>
  <si>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</si>
  <si>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</si>
  <si>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</si>
  <si>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</si>
  <si>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</si>
  <si>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</si>
  <si>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</si>
  <si>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</si>
  <si>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</si>
  <si>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</si>
  <si>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</si>
  <si>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</si>
  <si>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</si>
  <si>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</si>
  <si>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</si>
  <si>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</si>
  <si>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</si>
  <si>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</si>
  <si>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</si>
  <si>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</si>
  <si>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</si>
  <si>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</si>
  <si>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</si>
  <si>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</si>
  <si>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</si>
  <si>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</si>
  <si>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</si>
  <si>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</si>
  <si>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</si>
  <si>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</si>
  <si>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</si>
  <si>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</si>
  <si>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</si>
  <si>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</si>
  <si>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</si>
  <si>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</si>
  <si>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</si>
  <si>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</si>
  <si>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</si>
  <si>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</si>
  <si>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</si>
  <si>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</si>
  <si>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</si>
  <si>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</si>
  <si>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</si>
  <si>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</si>
  <si>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</si>
  <si>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</si>
  <si>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</si>
  <si>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</si>
  <si>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</si>
  <si>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</si>
  <si>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</si>
  <si>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</si>
  <si>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</si>
  <si>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</si>
  <si>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</si>
  <si>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</si>
  <si>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</si>
  <si>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</si>
  <si>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</si>
  <si>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</si>
  <si>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</si>
  <si>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</si>
  <si>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</si>
  <si>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</si>
  <si>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</si>
  <si>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</si>
  <si>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</si>
  <si>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</si>
  <si>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</si>
  <si>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</si>
  <si>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</si>
  <si>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</si>
  <si>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</si>
  <si>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</si>
  <si>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</si>
  <si>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</si>
  <si>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</si>
  <si>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</si>
  <si>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</si>
  <si>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</si>
  <si>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</si>
  <si>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</si>
  <si>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</si>
  <si>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</si>
  <si>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</si>
  <si>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</si>
  <si>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</si>
  <si>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</si>
  <si>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</si>
  <si>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</si>
  <si>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</si>
  <si>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</si>
  <si>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</si>
  <si>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</si>
  <si>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</si>
  <si>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</si>
  <si>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</si>
  <si>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</si>
  <si>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</si>
  <si>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</si>
  <si>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</si>
  <si>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</si>
  <si>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</si>
  <si>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</si>
  <si>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</si>
  <si>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</si>
  <si>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</si>
  <si>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</si>
  <si>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</si>
  <si>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</si>
  <si>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</si>
  <si>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</si>
  <si>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</si>
  <si>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</si>
  <si>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</si>
  <si>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</si>
  <si>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</si>
  <si>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</si>
  <si>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</si>
  <si>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</si>
  <si>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</si>
  <si>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</si>
  <si>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</si>
  <si>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</si>
  <si>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</si>
  <si>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</si>
  <si>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</si>
  <si>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</si>
  <si>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</si>
  <si>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</si>
  <si>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</si>
  <si>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</si>
  <si>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</si>
  <si>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</si>
  <si>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</si>
  <si>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</si>
  <si>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</si>
  <si>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</si>
  <si>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</si>
  <si>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</si>
  <si>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</si>
  <si>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</si>
  <si>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</si>
  <si>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</si>
  <si>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</si>
  <si>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</si>
  <si>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</si>
  <si>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</si>
  <si>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</si>
  <si>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</si>
  <si>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</si>
  <si>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</si>
  <si>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</si>
  <si>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</si>
  <si>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</si>
  <si>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</si>
  <si>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</si>
  <si>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</si>
  <si>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</si>
  <si>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</si>
  <si>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</si>
  <si>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</si>
  <si>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</si>
  <si>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</si>
  <si>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</si>
  <si>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</si>
  <si>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</si>
  <si>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</si>
  <si>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</si>
  <si>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</si>
  <si>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</si>
  <si>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</si>
  <si>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</si>
  <si>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</si>
  <si>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</si>
  <si>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</si>
  <si>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</si>
  <si>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</si>
  <si>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</si>
  <si>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</si>
  <si>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</si>
  <si>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</si>
  <si>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</si>
  <si>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</si>
  <si>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</si>
  <si>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</si>
  <si>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</si>
  <si>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</si>
  <si>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</si>
  <si>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</si>
  <si>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</si>
  <si>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</si>
  <si>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</si>
  <si>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</si>
  <si>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</si>
  <si>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</si>
  <si>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</si>
  <si>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</si>
  <si>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</si>
  <si>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</si>
  <si>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</si>
  <si>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</si>
  <si>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</si>
  <si>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</si>
  <si>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</si>
  <si>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</si>
  <si>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</si>
  <si>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</si>
  <si>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</si>
  <si>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</si>
  <si>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</si>
  <si>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</si>
  <si>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</si>
  <si>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</si>
  <si>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</si>
  <si>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</si>
  <si>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</si>
  <si>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</si>
  <si>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</si>
  <si>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</si>
  <si>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</si>
  <si>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</si>
  <si>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</si>
  <si>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</si>
  <si>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</si>
  <si>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</si>
  <si>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</si>
  <si>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</si>
  <si>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</si>
  <si>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</si>
  <si>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</si>
  <si>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</si>
  <si>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</si>
  <si>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</si>
  <si>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</si>
  <si>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</si>
  <si>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</si>
  <si>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</si>
  <si>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</si>
  <si>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</si>
  <si>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</si>
  <si>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</si>
  <si>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</si>
  <si>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</si>
  <si>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</si>
  <si>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</si>
  <si>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</si>
  <si>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</si>
  <si>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</si>
  <si>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</si>
  <si>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</si>
  <si>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</si>
  <si>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</si>
  <si>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</si>
  <si>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</si>
  <si>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</si>
  <si>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</si>
  <si>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</si>
  <si>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</si>
  <si>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</si>
  <si>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</si>
  <si>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</si>
  <si>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</si>
  <si>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</si>
  <si>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</si>
  <si>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</si>
  <si>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</si>
  <si>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</si>
  <si>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</si>
  <si>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</si>
  <si>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</si>
  <si>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</si>
  <si>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</si>
  <si>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</si>
  <si>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</si>
  <si>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</si>
  <si>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</si>
  <si>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</si>
  <si>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</si>
  <si>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</si>
  <si>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</si>
  <si>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</si>
  <si>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</si>
  <si>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</si>
  <si>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</si>
  <si>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</si>
  <si>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</si>
  <si>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</si>
  <si>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</si>
  <si>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</si>
  <si>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</si>
  <si>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</si>
  <si>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</si>
  <si>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</si>
  <si>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</si>
  <si>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</si>
  <si>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</si>
  <si>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</si>
  <si>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</si>
  <si>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</si>
  <si>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</si>
  <si>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</si>
  <si>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</si>
  <si>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</si>
  <si>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</si>
  <si>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</si>
  <si>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</si>
  <si>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</si>
  <si>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</si>
  <si>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</si>
  <si>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</si>
  <si>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</si>
  <si>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</si>
  <si>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</si>
  <si>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</si>
  <si>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</si>
  <si>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</si>
  <si>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</si>
  <si>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</si>
  <si>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</si>
  <si>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</si>
  <si>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</si>
  <si>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</si>
  <si>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</si>
  <si>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</si>
  <si>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</si>
  <si>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</si>
  <si>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</si>
  <si>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</si>
  <si>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</si>
  <si>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</si>
  <si>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</si>
  <si>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</si>
  <si>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</si>
  <si>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</si>
  <si>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</si>
  <si>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</si>
  <si>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</si>
  <si>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</si>
  <si>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</si>
  <si>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</si>
  <si>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</si>
  <si>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</si>
  <si>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</si>
  <si>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</si>
  <si>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</si>
  <si>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</si>
  <si>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</si>
  <si>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</si>
  <si>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</si>
  <si>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</si>
  <si>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</si>
  <si>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</si>
  <si>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</si>
  <si>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</si>
  <si>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</si>
  <si>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</si>
  <si>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</si>
  <si>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</si>
  <si>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</si>
  <si>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</si>
  <si>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</si>
  <si>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</si>
  <si>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</si>
  <si>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</si>
  <si>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</si>
  <si>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</si>
  <si>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</si>
  <si>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</si>
  <si>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</si>
  <si>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</si>
  <si>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</si>
  <si>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</si>
  <si>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</si>
  <si>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</si>
  <si>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</si>
  <si>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</si>
  <si>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</si>
  <si>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</si>
  <si>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</si>
  <si>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</si>
  <si>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</si>
  <si>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</si>
  <si>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</si>
  <si>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</si>
  <si>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</si>
  <si>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</si>
  <si>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</si>
  <si>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</si>
  <si>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</si>
  <si>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</si>
  <si>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</si>
  <si>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</si>
  <si>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</si>
  <si>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</si>
  <si>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</si>
  <si>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</si>
  <si>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</si>
  <si>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</si>
  <si>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</si>
  <si>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</si>
  <si>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</si>
  <si>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</si>
  <si>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</si>
  <si>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</si>
  <si>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</si>
  <si>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</si>
  <si>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</si>
  <si>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</si>
  <si>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</si>
  <si>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</si>
  <si>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</si>
  <si>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</si>
  <si>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</si>
  <si>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</si>
  <si>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</si>
  <si>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</si>
  <si>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</si>
  <si>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</si>
  <si>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</si>
  <si>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</si>
  <si>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</si>
  <si>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</si>
  <si>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</si>
  <si>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</si>
  <si>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</si>
  <si>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</si>
  <si>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</si>
  <si>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</si>
  <si>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</si>
  <si>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</si>
  <si>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</si>
  <si>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</si>
  <si>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</si>
  <si>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</si>
  <si>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</si>
  <si>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</si>
  <si>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</si>
  <si>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</si>
  <si>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</si>
  <si>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</si>
  <si>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</si>
  <si>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</si>
  <si>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</si>
  <si>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</si>
  <si>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</si>
  <si>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</si>
  <si>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</si>
  <si>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</si>
  <si>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</si>
  <si>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</si>
  <si>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</si>
  <si>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</si>
  <si>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</si>
  <si>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</si>
  <si>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</si>
  <si>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</si>
  <si>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</si>
  <si>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</si>
  <si>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</si>
  <si>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</si>
  <si>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</si>
  <si>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</si>
  <si>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</si>
  <si>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</si>
  <si>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</si>
  <si>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</si>
  <si>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</si>
  <si>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</si>
  <si>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</si>
  <si>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</si>
  <si>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</si>
  <si>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</si>
  <si>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</si>
  <si>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</si>
  <si>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</si>
  <si>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</si>
  <si>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</si>
  <si>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</si>
  <si>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</si>
  <si>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</si>
  <si>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</si>
  <si>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</si>
  <si>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</si>
  <si>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</si>
  <si>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</si>
  <si>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</si>
  <si>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</si>
  <si>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</si>
  <si>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</si>
  <si>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</si>
  <si>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</si>
  <si>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</si>
  <si>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</si>
  <si>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</si>
  <si>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</si>
  <si>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</si>
  <si>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</si>
  <si>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</si>
  <si>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</si>
  <si>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</si>
  <si>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</si>
  <si>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</si>
  <si>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</si>
  <si>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</si>
  <si>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</si>
  <si>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</si>
  <si>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</si>
  <si>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</si>
  <si>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</si>
  <si>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</si>
  <si>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</si>
  <si>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</si>
  <si>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</si>
  <si>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</si>
  <si>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</si>
  <si>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</si>
  <si>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</si>
  <si>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</si>
  <si>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</si>
  <si>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</si>
  <si>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</si>
  <si>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</si>
  <si>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</si>
  <si>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</si>
  <si>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</si>
  <si>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</si>
  <si>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</si>
  <si>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</si>
  <si>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</si>
  <si>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</si>
  <si>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</si>
  <si>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</si>
  <si>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</si>
  <si>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</si>
  <si>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</si>
  <si>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</si>
  <si>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</si>
  <si>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</si>
  <si>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</si>
  <si>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</si>
  <si>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</si>
  <si>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</si>
  <si>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</si>
  <si>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</si>
  <si>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</si>
  <si>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</si>
  <si>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</si>
  <si>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</si>
  <si>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</si>
  <si>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</si>
  <si>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</si>
  <si>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</si>
  <si>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</si>
  <si>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</si>
  <si>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</si>
  <si>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</si>
  <si>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</si>
  <si>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</si>
  <si>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</si>
  <si>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</si>
  <si>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</si>
  <si>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</si>
  <si>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</si>
  <si>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</si>
  <si>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</si>
  <si>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</si>
  <si>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</si>
  <si>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</si>
  <si>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</si>
  <si>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</si>
  <si>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</si>
  <si>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</si>
  <si>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</si>
  <si>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</si>
  <si>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</si>
  <si>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</si>
  <si>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</si>
  <si>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</si>
  <si>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</si>
  <si>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</si>
  <si>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</si>
  <si>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</si>
  <si>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</si>
  <si>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</si>
  <si>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</si>
  <si>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</si>
  <si>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</si>
  <si>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</si>
  <si>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</si>
  <si>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</si>
  <si>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</si>
  <si>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</si>
  <si>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</si>
  <si>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</si>
  <si>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</si>
  <si>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</si>
  <si>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</si>
  <si>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</si>
  <si>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</si>
  <si>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</si>
  <si>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</si>
  <si>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</si>
  <si>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</si>
  <si>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</si>
  <si>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</si>
  <si>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</si>
  <si>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</si>
  <si>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</si>
  <si>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</si>
  <si>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</si>
  <si>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</si>
  <si>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</si>
  <si>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</si>
  <si>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</si>
  <si>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</si>
  <si>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</si>
  <si>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</si>
  <si>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</si>
  <si>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</si>
  <si>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</si>
  <si>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</si>
  <si>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</si>
  <si>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</si>
  <si>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</si>
  <si>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</si>
  <si>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</si>
  <si>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</si>
  <si>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</si>
  <si>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</si>
  <si>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</si>
  <si>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</si>
  <si>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</si>
  <si>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</si>
  <si>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</si>
  <si>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</si>
  <si>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</si>
  <si>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</si>
  <si>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</si>
  <si>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</si>
  <si>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</si>
  <si>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</si>
  <si>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</si>
  <si>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</si>
  <si>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</si>
  <si>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</si>
  <si>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</si>
  <si>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</si>
  <si>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</si>
  <si>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</si>
  <si>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</si>
  <si>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</si>
  <si>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</si>
  <si>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</si>
  <si>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</si>
  <si>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</si>
  <si>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</si>
  <si>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</si>
  <si>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</si>
  <si>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</si>
  <si>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</si>
  <si>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</si>
  <si>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</si>
  <si>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</si>
  <si>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</si>
  <si>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</si>
  <si>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</si>
  <si>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</si>
  <si>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</si>
  <si>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</si>
  <si>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</si>
  <si>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</si>
  <si>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</si>
  <si>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</si>
  <si>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</si>
  <si>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</si>
  <si>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</si>
  <si>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</si>
  <si>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</si>
  <si>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</si>
  <si>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</si>
  <si>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</si>
  <si>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</si>
  <si>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</si>
  <si>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</si>
  <si>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</si>
  <si>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</si>
  <si>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</si>
  <si>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</si>
  <si>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</si>
  <si>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</si>
  <si>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</si>
  <si>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</si>
  <si>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</si>
  <si>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</si>
  <si>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</si>
  <si>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</si>
  <si>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</si>
  <si>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</si>
  <si>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</si>
  <si>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</si>
  <si>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</si>
  <si>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</si>
  <si>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</si>
  <si>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</si>
  <si>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</si>
  <si>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</si>
  <si>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</si>
  <si>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</si>
  <si>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</si>
  <si>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</si>
  <si>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</si>
  <si>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</si>
  <si>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</si>
  <si>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</si>
  <si>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</si>
  <si>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</si>
  <si>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</si>
  <si>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</si>
  <si>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</si>
  <si>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</si>
  <si>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</si>
  <si>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</si>
  <si>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</si>
  <si>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</si>
  <si>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</si>
  <si>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</si>
  <si>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</si>
  <si>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</si>
  <si>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</si>
  <si>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</si>
  <si>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</si>
  <si>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</si>
  <si>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</si>
  <si>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</si>
  <si>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</si>
  <si>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</si>
  <si>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</si>
  <si>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</si>
  <si>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</si>
  <si>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</si>
  <si>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</si>
  <si>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</si>
  <si>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</si>
  <si>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</si>
  <si>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</si>
  <si>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</si>
  <si>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</si>
  <si>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</si>
  <si>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</si>
  <si>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</si>
  <si>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</si>
  <si>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</si>
  <si>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</si>
  <si>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</si>
  <si>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</si>
  <si>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</si>
  <si>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</si>
  <si>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</si>
  <si>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</si>
  <si>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</si>
  <si>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</si>
  <si>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</si>
  <si>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</si>
  <si>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</si>
  <si>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</si>
  <si>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</si>
  <si>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</si>
  <si>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</si>
  <si>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</si>
  <si>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</si>
  <si>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</si>
  <si>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</si>
  <si>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</si>
  <si>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</si>
  <si>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</si>
  <si>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</si>
  <si>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</si>
  <si>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</si>
  <si>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</si>
  <si>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</si>
  <si>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</si>
  <si>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</si>
  <si>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</si>
  <si>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</si>
  <si>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</si>
  <si>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</si>
  <si>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</si>
  <si>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</si>
  <si>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</si>
  <si>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</si>
  <si>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</si>
  <si>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</si>
  <si>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</si>
  <si>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</si>
  <si>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</si>
  <si>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</si>
  <si>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</si>
  <si>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</si>
  <si>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</si>
  <si>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</si>
  <si>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</si>
  <si>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</si>
  <si>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</si>
  <si>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</si>
  <si>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</si>
  <si>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</si>
  <si>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</si>
  <si>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</si>
  <si>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</si>
  <si>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</si>
  <si>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</si>
  <si>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</si>
  <si>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</si>
  <si>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</si>
  <si>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</si>
  <si>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</si>
  <si>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</si>
  <si>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</si>
  <si>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</si>
  <si>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</si>
  <si>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</si>
  <si>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</si>
  <si>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</si>
  <si>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</si>
  <si>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</si>
  <si>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</si>
  <si>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</si>
  <si>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</si>
  <si>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</si>
  <si>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</si>
  <si>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</si>
  <si>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</si>
  <si>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</si>
  <si>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</si>
  <si>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</si>
  <si>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</si>
  <si>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</si>
  <si>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</si>
  <si>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</si>
  <si>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</si>
  <si>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</si>
  <si>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</si>
  <si>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</si>
  <si>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</si>
  <si>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</si>
  <si>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</si>
  <si>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</si>
  <si>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</si>
  <si>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</si>
  <si>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</si>
  <si>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</si>
  <si>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</si>
  <si>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</si>
  <si>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</si>
  <si>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</si>
  <si>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</si>
  <si>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</si>
  <si>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</si>
  <si>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</si>
  <si>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</si>
  <si>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</si>
  <si>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</si>
  <si>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</si>
  <si>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</si>
  <si>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</si>
  <si>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</si>
  <si>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</si>
  <si>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</si>
  <si>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</si>
  <si>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</si>
  <si>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</si>
  <si>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</si>
  <si>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</si>
  <si>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</si>
  <si>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</si>
  <si>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</si>
  <si>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</si>
  <si>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</si>
  <si>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</si>
  <si>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</si>
  <si>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</si>
  <si>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</si>
  <si>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</si>
  <si>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</si>
  <si>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</si>
  <si>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</si>
  <si>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</si>
  <si>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</si>
  <si>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</si>
  <si>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</si>
  <si>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</si>
  <si>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</si>
  <si>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</si>
  <si>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</si>
  <si>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</si>
  <si>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</si>
  <si>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</si>
  <si>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</si>
  <si>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</si>
  <si>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</si>
  <si>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</si>
  <si>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</si>
  <si>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</si>
  <si>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</si>
  <si>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</si>
  <si>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</si>
  <si>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</si>
  <si>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</si>
  <si>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</si>
  <si>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</si>
  <si>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</si>
  <si>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</si>
  <si>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</si>
  <si>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</si>
  <si>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</si>
  <si>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</si>
  <si>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</si>
  <si>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</si>
  <si>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</si>
  <si>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</si>
  <si>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</si>
  <si>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</si>
  <si>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</si>
  <si>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</si>
  <si>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</si>
  <si>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</si>
  <si>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</si>
  <si>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</si>
  <si>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</si>
  <si>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</si>
  <si>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</si>
  <si>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</si>
  <si>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</si>
  <si>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</si>
  <si>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</si>
  <si>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</si>
  <si>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</si>
  <si>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</si>
  <si>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</si>
  <si>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</si>
  <si>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</si>
  <si>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</si>
  <si>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</si>
  <si>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</si>
  <si>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</si>
  <si>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</si>
  <si>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</si>
  <si>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</si>
  <si>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</si>
  <si>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</si>
  <si>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</si>
  <si>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</si>
  <si>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</si>
  <si>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</si>
  <si>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</si>
  <si>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</si>
  <si>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</si>
  <si>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</si>
  <si>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</si>
  <si>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</si>
  <si>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</si>
  <si>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</si>
  <si>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</si>
  <si>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</si>
  <si>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</si>
  <si>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</si>
  <si>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</si>
  <si>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</si>
  <si>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</si>
  <si>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</si>
  <si>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</si>
  <si>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</si>
  <si>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</si>
  <si>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</si>
  <si>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</si>
  <si>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</si>
  <si>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</si>
  <si>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</si>
  <si>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</si>
  <si>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</si>
  <si>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</si>
  <si>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</si>
  <si>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</si>
  <si>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</si>
  <si>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</si>
  <si>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</si>
  <si>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</si>
  <si>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</si>
  <si>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</si>
  <si>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</si>
  <si>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</si>
  <si>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</si>
  <si>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</si>
  <si>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</si>
  <si>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</si>
  <si>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</si>
  <si>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</si>
  <si>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</si>
  <si>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</si>
  <si>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</si>
  <si>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</si>
  <si>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</si>
  <si>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</si>
  <si>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</si>
  <si>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</si>
  <si>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</si>
  <si>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</si>
  <si>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</si>
  <si>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</si>
  <si>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</si>
  <si>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</si>
  <si>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</si>
  <si>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</si>
  <si>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</si>
  <si>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</si>
  <si>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</si>
  <si>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</si>
  <si>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</si>
  <si>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</si>
  <si>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</si>
  <si>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</si>
  <si>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</si>
  <si>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</si>
  <si>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</si>
  <si>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</si>
  <si>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</si>
  <si>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</si>
  <si>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</si>
  <si>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</si>
  <si>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</si>
  <si>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</si>
  <si>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</si>
  <si>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</si>
  <si>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</si>
  <si>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</si>
  <si>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</si>
  <si>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</si>
  <si>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</si>
  <si>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</si>
  <si>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</si>
  <si>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</si>
  <si>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</si>
  <si>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</si>
  <si>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</si>
  <si>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</si>
  <si>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</si>
  <si>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</si>
  <si>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</si>
  <si>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</si>
  <si>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</si>
  <si>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</si>
  <si>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</si>
  <si>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</si>
  <si>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</si>
  <si>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</si>
  <si>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</si>
  <si>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</si>
  <si>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</si>
  <si>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</si>
  <si>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</si>
  <si>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</si>
  <si>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</si>
  <si>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</si>
  <si>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</si>
  <si>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</si>
  <si>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</si>
  <si>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</si>
  <si>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</si>
  <si>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</si>
  <si>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</si>
  <si>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</si>
  <si>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</si>
  <si>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</si>
  <si>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</si>
  <si>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</si>
  <si>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</si>
  <si>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</si>
  <si>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</si>
  <si>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</si>
  <si>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</si>
  <si>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</si>
  <si>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</si>
  <si>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</si>
  <si>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</si>
  <si>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</si>
  <si>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</si>
  <si>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</si>
  <si>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</si>
  <si>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</si>
  <si>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</si>
  <si>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</si>
  <si>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</si>
  <si>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</si>
  <si>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</si>
  <si>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</si>
  <si>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</si>
  <si>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</si>
  <si>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</si>
  <si>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</si>
  <si>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</si>
  <si>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</si>
  <si>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</si>
  <si>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</si>
  <si>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</si>
  <si>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</si>
  <si>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</si>
  <si>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</si>
  <si>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</si>
  <si>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</si>
  <si>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</si>
  <si>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</si>
  <si>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</si>
  <si>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</si>
  <si>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</si>
  <si>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</si>
  <si>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</si>
  <si>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</si>
  <si>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</si>
  <si>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</si>
  <si>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</si>
  <si>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</si>
  <si>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</si>
  <si>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</si>
  <si>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</si>
  <si>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</si>
  <si>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</si>
  <si>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</si>
  <si>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</si>
  <si>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</si>
  <si>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</si>
  <si>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</si>
  <si>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</si>
  <si>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</si>
  <si>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</si>
  <si>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</si>
  <si>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</si>
  <si>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</si>
  <si>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</si>
  <si>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</si>
  <si>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</si>
  <si>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</si>
  <si>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</si>
  <si>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</si>
  <si>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</si>
  <si>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</si>
  <si>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</si>
  <si>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</si>
  <si>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</si>
  <si>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</si>
  <si>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</si>
  <si>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</si>
  <si>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</si>
  <si>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</si>
  <si>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</si>
  <si>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</si>
  <si>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</si>
  <si>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</si>
  <si>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</si>
  <si>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</si>
  <si>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</si>
  <si>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</si>
  <si>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</si>
  <si>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</si>
  <si>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</si>
  <si>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</si>
  <si>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</si>
  <si>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</si>
  <si>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</si>
  <si>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</si>
  <si>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</si>
  <si>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</si>
  <si>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</si>
  <si>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</si>
  <si>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</si>
  <si>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</si>
  <si>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</si>
  <si>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</si>
  <si>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</si>
  <si>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</si>
  <si>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</si>
  <si>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</si>
  <si>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</si>
  <si>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</si>
  <si>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</si>
  <si>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</si>
  <si>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</si>
  <si>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</si>
  <si>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</si>
  <si>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</si>
  <si>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</si>
  <si>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</si>
  <si>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</si>
  <si>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</si>
  <si>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</si>
  <si>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</si>
  <si>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</si>
  <si>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</si>
  <si>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</si>
  <si>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</si>
  <si>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</si>
  <si>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</si>
  <si>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</si>
  <si>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</si>
  <si>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</si>
  <si>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</si>
  <si>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</si>
  <si>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</si>
  <si>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</si>
  <si>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</si>
  <si>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</si>
  <si>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</si>
  <si>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</si>
  <si>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</si>
  <si>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</si>
  <si>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</si>
  <si>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</si>
  <si>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</si>
  <si>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</si>
  <si>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</si>
  <si>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</si>
  <si>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</si>
  <si>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</si>
  <si>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</si>
  <si>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</si>
  <si>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</si>
  <si>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</si>
  <si>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</si>
  <si>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</si>
  <si>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</si>
  <si>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</si>
  <si>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</si>
  <si>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</si>
  <si>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</si>
  <si>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</si>
  <si>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</si>
  <si>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</si>
  <si>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</si>
  <si>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</si>
  <si>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</si>
  <si>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</si>
  <si>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</si>
  <si>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</si>
  <si>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</si>
  <si>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</si>
  <si>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</si>
  <si>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</si>
  <si>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</si>
  <si>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</si>
  <si>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</si>
  <si>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</si>
  <si>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</si>
  <si>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</si>
  <si>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</si>
  <si>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</si>
  <si>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</si>
  <si>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</si>
  <si>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</si>
  <si>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</si>
  <si>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</si>
  <si>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</si>
  <si>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</si>
  <si>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</si>
  <si>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</si>
  <si>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</si>
  <si>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</si>
  <si>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</si>
  <si>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</si>
  <si>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</si>
  <si>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</si>
  <si>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</si>
  <si>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</si>
  <si>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</si>
  <si>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</si>
  <si>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</si>
  <si>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</si>
  <si>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</si>
  <si>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</si>
  <si>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</si>
  <si>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</si>
  <si>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</si>
  <si>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</si>
  <si>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</si>
  <si>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</si>
  <si>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</si>
  <si>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</si>
  <si>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</si>
  <si>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</si>
  <si>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</si>
  <si>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</si>
  <si>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</si>
  <si>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</si>
  <si>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</si>
  <si>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</si>
  <si>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</si>
  <si>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</si>
  <si>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</si>
  <si>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</si>
  <si>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</si>
  <si>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</si>
  <si>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</si>
  <si>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</si>
  <si>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</si>
  <si>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</si>
  <si>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</si>
  <si>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</si>
  <si>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</si>
  <si>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</si>
  <si>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</si>
  <si>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</si>
  <si>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</si>
  <si>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</si>
  <si>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</si>
  <si>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</si>
  <si>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</si>
  <si>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</si>
  <si>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</si>
  <si>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</si>
  <si>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</si>
  <si>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</si>
  <si>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</si>
  <si>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</si>
  <si>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</si>
  <si>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</si>
  <si>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</si>
  <si>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</si>
  <si>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</si>
  <si>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</si>
  <si>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</si>
  <si>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</si>
  <si>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</si>
  <si>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</si>
  <si>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</si>
  <si>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</si>
  <si>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</si>
  <si>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</si>
  <si>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</si>
  <si>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</si>
  <si>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</si>
  <si>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</si>
  <si>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</si>
  <si>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</si>
  <si>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</si>
  <si>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</si>
  <si>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</si>
  <si>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</si>
  <si>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</si>
  <si>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</si>
  <si>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</si>
  <si>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</si>
  <si>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</si>
  <si>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</si>
  <si>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</si>
  <si>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</si>
  <si>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</si>
  <si>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</si>
  <si>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</si>
  <si>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</si>
  <si>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</si>
  <si>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</si>
  <si>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</si>
  <si>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</si>
  <si>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</si>
  <si>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</si>
  <si>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</si>
  <si>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</si>
  <si>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</si>
  <si>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</si>
  <si>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</si>
  <si>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</si>
  <si>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</si>
  <si>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</si>
  <si>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</si>
  <si>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</si>
  <si>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</si>
  <si>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</si>
  <si>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</si>
  <si>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</si>
  <si>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</si>
  <si>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</si>
  <si>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</si>
  <si>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</si>
  <si>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</si>
  <si>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</si>
  <si>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</si>
  <si>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</si>
  <si>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</si>
  <si>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</si>
  <si>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</si>
  <si>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</si>
  <si>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</si>
  <si>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</si>
  <si>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</si>
  <si>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</si>
  <si>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</si>
  <si>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</si>
  <si>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</si>
  <si>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</si>
  <si>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</si>
  <si>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</si>
  <si>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</si>
  <si>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</si>
  <si>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</si>
  <si>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</si>
  <si>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</si>
  <si>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</si>
  <si>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</si>
  <si>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</si>
  <si>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</si>
  <si>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</si>
  <si>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</si>
  <si>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</si>
  <si>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</si>
  <si>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</si>
  <si>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</si>
  <si>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</si>
  <si>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</si>
  <si>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</si>
  <si>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</si>
  <si>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</si>
  <si>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</si>
  <si>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</si>
  <si>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</si>
  <si>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</si>
  <si>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</si>
  <si>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</si>
  <si>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</si>
  <si>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</si>
  <si>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</si>
  <si>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</si>
  <si>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</si>
  <si>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</si>
  <si>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</si>
  <si>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</si>
  <si>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</si>
  <si>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</si>
  <si>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</si>
  <si>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Row Labels</t>
  </si>
  <si>
    <t>Grand Total</t>
  </si>
  <si>
    <t>Column Labels</t>
  </si>
  <si>
    <t>Female</t>
  </si>
  <si>
    <t>Male</t>
  </si>
  <si>
    <t>Others</t>
  </si>
  <si>
    <t>Unknown</t>
  </si>
  <si>
    <t>For Matrix</t>
  </si>
  <si>
    <t>6 to 10</t>
  </si>
  <si>
    <t>More than 10</t>
  </si>
  <si>
    <t>Map Chart Stuff(Qty)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</si>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</sst>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49" fontId="0" fillId="0" borderId="0" xfId="0" applyNumberFormat="1"/>
    <xf numFmtId="0" fontId="0" fillId="0" borderId="0" xfId="0" pivotButton="1"/>
    <xf numFmtId="0" fontId="0" fillId="0" borderId="0" xfId="0" applyAlignment="1">
      <alignment horizontal="left"/>
    </xf>
    <xf numFmtId="2" fontId="0" fillId="0" borderId="0" xfId="0" applyNumberFormat="1"/>
    <xf numFmtId="12" fontId="0" fillId="0" borderId="0" xfId="0" applyNumberFormat="1"/>
    <xf numFmtId="10" fontId="0" fillId="0" borderId="0" xfId="0" applyNumberFormat="1"/>
    <xf numFmtId="0" fontId="1" fillId="0" borderId="0" xfId="0" applyFont="1"/>
    <xf numFmtId="0" fontId="1" fillId="0" borderId="1" xfId="0" applyFont="1" applyBorder="1"/>
  </cellXfs>
  <cellStyles count="1">
    <cellStyle name="Normal" xfId="0" builtinId="0"/>
  </cellStyles>
  <dxfs count="6">
    <dxf>
      <numFmt numFmtId="0" formatCode="General"/>
    </dxf>
    <dxf>
      <numFmt numFmtId="0" formatCode="General"/>
    </dxf>
    <dxf>
      <numFmt numFmtId="0" formatCode="General"/>
    </dxf>
    <dxf>
      <numFmt numFmtId="20" formatCode="d\-mmm\-yy"/>
    </dxf>
    <dxf>
      <numFmt numFmtId="20" formatCode="d\-mmm\-yy"/>
    </dxf>
    <dxf>
      <numFmt numFmtId="2" formatCode="0.00"/>
    </dxf>
  </dxfs>
  <tableStyles count="0" defaultTableStyle="TableStyleMedium2" defaultPivotStyle="PivotStyleLight16"/>
  <colors>
    <mruColors>
      <color rgb="FF9E0A2D"/>
      <color rgb="FF3B0656"/>
      <color rgb="FF008000"/>
      <color rgb="FFEAEAEA"/>
      <color rgb="FF339933"/>
      <color rgb="FF213328"/>
      <color rgb="FF334F3E"/>
      <color rgb="FF1723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Project.xlsx]Pivot Table 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weeks trend -Qty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E0A2D">
              <a:alpha val="61961"/>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1'!$B$11</c:f>
              <c:strCache>
                <c:ptCount val="1"/>
                <c:pt idx="0">
                  <c:v>Sum of Quantity</c:v>
                </c:pt>
              </c:strCache>
            </c:strRef>
          </c:tx>
          <c:spPr>
            <a:solidFill>
              <a:srgbClr val="9E0A2D">
                <a:alpha val="61961"/>
              </a:srgbClr>
            </a:solidFill>
            <a:ln>
              <a:noFill/>
            </a:ln>
            <a:effectLst/>
          </c:spPr>
          <c:invertIfNegative val="0"/>
          <c:cat>
            <c:strRef>
              <c:f>'Pivot Table 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 1'!$B$12:$B$25</c:f>
              <c:numCache>
                <c:formatCode>General</c:formatCode>
                <c:ptCount val="13"/>
                <c:pt idx="0">
                  <c:v>121</c:v>
                </c:pt>
                <c:pt idx="1">
                  <c:v>34</c:v>
                </c:pt>
                <c:pt idx="2">
                  <c:v>37</c:v>
                </c:pt>
                <c:pt idx="3">
                  <c:v>189</c:v>
                </c:pt>
                <c:pt idx="4">
                  <c:v>126</c:v>
                </c:pt>
                <c:pt idx="5">
                  <c:v>175</c:v>
                </c:pt>
                <c:pt idx="6">
                  <c:v>82</c:v>
                </c:pt>
                <c:pt idx="7">
                  <c:v>72</c:v>
                </c:pt>
                <c:pt idx="8">
                  <c:v>129</c:v>
                </c:pt>
                <c:pt idx="9">
                  <c:v>198</c:v>
                </c:pt>
                <c:pt idx="10">
                  <c:v>63</c:v>
                </c:pt>
                <c:pt idx="11">
                  <c:v>97</c:v>
                </c:pt>
                <c:pt idx="12">
                  <c:v>92</c:v>
                </c:pt>
              </c:numCache>
            </c:numRef>
          </c:val>
          <c:extLst>
            <c:ext xmlns:c16="http://schemas.microsoft.com/office/drawing/2014/chart" uri="{C3380CC4-5D6E-409C-BE32-E72D297353CC}">
              <c16:uniqueId val="{00000005-98B1-48BB-83FC-F82C00C1508F}"/>
            </c:ext>
          </c:extLst>
        </c:ser>
        <c:dLbls>
          <c:showLegendKey val="0"/>
          <c:showVal val="0"/>
          <c:showCatName val="0"/>
          <c:showSerName val="0"/>
          <c:showPercent val="0"/>
          <c:showBubbleSize val="0"/>
        </c:dLbls>
        <c:gapWidth val="248"/>
        <c:overlap val="50"/>
        <c:axId val="232712383"/>
        <c:axId val="232716703"/>
      </c:barChart>
      <c:lineChart>
        <c:grouping val="standard"/>
        <c:varyColors val="0"/>
        <c:ser>
          <c:idx val="1"/>
          <c:order val="1"/>
          <c:tx>
            <c:strRef>
              <c:f>'Pivot Table 1'!$C$11</c:f>
              <c:strCache>
                <c:ptCount val="1"/>
                <c:pt idx="0">
                  <c:v>Sum of Amount</c:v>
                </c:pt>
              </c:strCache>
            </c:strRef>
          </c:tx>
          <c:spPr>
            <a:ln w="28575" cap="rnd">
              <a:solidFill>
                <a:schemeClr val="accent2"/>
              </a:solidFill>
              <a:round/>
            </a:ln>
            <a:effectLst/>
          </c:spPr>
          <c:marker>
            <c:symbol val="none"/>
          </c:marker>
          <c:cat>
            <c:strRef>
              <c:f>'Pivot Table 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 1'!$C$12:$C$25</c:f>
              <c:numCache>
                <c:formatCode>General</c:formatCode>
                <c:ptCount val="13"/>
                <c:pt idx="0">
                  <c:v>9481.5</c:v>
                </c:pt>
                <c:pt idx="1">
                  <c:v>1594.1000000000001</c:v>
                </c:pt>
                <c:pt idx="2">
                  <c:v>1449.3999999999999</c:v>
                </c:pt>
                <c:pt idx="3">
                  <c:v>7697</c:v>
                </c:pt>
                <c:pt idx="4">
                  <c:v>5755.5999999999995</c:v>
                </c:pt>
                <c:pt idx="5">
                  <c:v>8601.6999999999989</c:v>
                </c:pt>
                <c:pt idx="6">
                  <c:v>3824.5999999999995</c:v>
                </c:pt>
                <c:pt idx="7">
                  <c:v>3408.3999999999996</c:v>
                </c:pt>
                <c:pt idx="8">
                  <c:v>4730.7999999999984</c:v>
                </c:pt>
                <c:pt idx="9">
                  <c:v>12141.000000000002</c:v>
                </c:pt>
                <c:pt idx="10">
                  <c:v>4260.8999999999996</c:v>
                </c:pt>
                <c:pt idx="11">
                  <c:v>6819.5999999999995</c:v>
                </c:pt>
                <c:pt idx="12">
                  <c:v>3361.6</c:v>
                </c:pt>
              </c:numCache>
            </c:numRef>
          </c:val>
          <c:smooth val="0"/>
          <c:extLst>
            <c:ext xmlns:c16="http://schemas.microsoft.com/office/drawing/2014/chart" uri="{C3380CC4-5D6E-409C-BE32-E72D297353CC}">
              <c16:uniqueId val="{00000006-98B1-48BB-83FC-F82C00C1508F}"/>
            </c:ext>
          </c:extLst>
        </c:ser>
        <c:dLbls>
          <c:showLegendKey val="0"/>
          <c:showVal val="0"/>
          <c:showCatName val="0"/>
          <c:showSerName val="0"/>
          <c:showPercent val="0"/>
          <c:showBubbleSize val="0"/>
        </c:dLbls>
        <c:marker val="1"/>
        <c:smooth val="0"/>
        <c:axId val="1811133711"/>
        <c:axId val="1811131311"/>
      </c:lineChart>
      <c:catAx>
        <c:axId val="2327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16703"/>
        <c:crosses val="autoZero"/>
        <c:auto val="1"/>
        <c:lblAlgn val="ctr"/>
        <c:lblOffset val="100"/>
        <c:noMultiLvlLbl val="0"/>
      </c:catAx>
      <c:valAx>
        <c:axId val="23271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12383"/>
        <c:crosses val="autoZero"/>
        <c:crossBetween val="between"/>
      </c:valAx>
      <c:valAx>
        <c:axId val="18111313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33711"/>
        <c:crosses val="max"/>
        <c:crossBetween val="between"/>
      </c:valAx>
      <c:catAx>
        <c:axId val="1811133711"/>
        <c:scaling>
          <c:orientation val="minMax"/>
        </c:scaling>
        <c:delete val="1"/>
        <c:axPos val="b"/>
        <c:numFmt formatCode="General" sourceLinked="1"/>
        <c:majorTickMark val="out"/>
        <c:minorTickMark val="none"/>
        <c:tickLblPos val="nextTo"/>
        <c:crossAx val="18111313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Project.xlsx]Pivot Table 3!PivotTable5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B0656">
              <a:alpha val="64706"/>
            </a:srgbClr>
          </a:solidFill>
          <a:ln>
            <a:solidFill>
              <a:schemeClr val="accent1">
                <a:shade val="15000"/>
              </a:schemeClr>
            </a:solidFill>
          </a:ln>
          <a:effectLst/>
          <a:sp3d>
            <a:contourClr>
              <a:schemeClr val="accent1">
                <a:shade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w="0">
          <a:solidFill>
            <a:schemeClr val="accent1">
              <a:shade val="15000"/>
            </a:schemeClr>
          </a:solidFill>
        </a:ln>
        <a:effectLst/>
        <a:sp3d>
          <a:contourClr>
            <a:schemeClr val="accent1">
              <a:shade val="15000"/>
            </a:schemeClr>
          </a:contourClr>
        </a:sp3d>
      </c:spPr>
    </c:sideWall>
    <c:backWall>
      <c:thickness val="0"/>
      <c:spPr>
        <a:noFill/>
        <a:ln w="0">
          <a:solidFill>
            <a:schemeClr val="accent1">
              <a:shade val="15000"/>
            </a:schemeClr>
          </a:solidFill>
        </a:ln>
        <a:effectLst/>
        <a:sp3d>
          <a:contourClr>
            <a:schemeClr val="accent1">
              <a:shade val="15000"/>
            </a:schemeClr>
          </a:contourClr>
        </a:sp3d>
      </c:spPr>
    </c:backWall>
    <c:plotArea>
      <c:layout/>
      <c:bar3DChart>
        <c:barDir val="col"/>
        <c:grouping val="clustered"/>
        <c:varyColors val="0"/>
        <c:ser>
          <c:idx val="0"/>
          <c:order val="0"/>
          <c:tx>
            <c:strRef>
              <c:f>'Pivot Table 3'!$B$3</c:f>
              <c:strCache>
                <c:ptCount val="1"/>
                <c:pt idx="0">
                  <c:v>Total</c:v>
                </c:pt>
              </c:strCache>
            </c:strRef>
          </c:tx>
          <c:spPr>
            <a:solidFill>
              <a:srgbClr val="3B0656">
                <a:alpha val="64706"/>
              </a:srgbClr>
            </a:solidFill>
            <a:ln>
              <a:solidFill>
                <a:schemeClr val="accent1">
                  <a:shade val="15000"/>
                </a:schemeClr>
              </a:solidFill>
            </a:ln>
            <a:effectLst/>
            <a:sp3d>
              <a:contourClr>
                <a:schemeClr val="accent1">
                  <a:shade val="15000"/>
                </a:schemeClr>
              </a:contourClr>
            </a:sp3d>
          </c:spPr>
          <c:invertIfNegative val="0"/>
          <c:cat>
            <c:strRef>
              <c:f>'Pivot Table 3'!$A$4:$A$11</c:f>
              <c:strCache>
                <c:ptCount val="7"/>
                <c:pt idx="0">
                  <c:v>1</c:v>
                </c:pt>
                <c:pt idx="1">
                  <c:v>2</c:v>
                </c:pt>
                <c:pt idx="2">
                  <c:v>3</c:v>
                </c:pt>
                <c:pt idx="3">
                  <c:v>4</c:v>
                </c:pt>
                <c:pt idx="4">
                  <c:v>5</c:v>
                </c:pt>
                <c:pt idx="5">
                  <c:v>6 to 10</c:v>
                </c:pt>
                <c:pt idx="6">
                  <c:v>More than 10</c:v>
                </c:pt>
              </c:strCache>
            </c:strRef>
          </c:cat>
          <c:val>
            <c:numRef>
              <c:f>'Pivot Table 3'!$B$4:$B$11</c:f>
              <c:numCache>
                <c:formatCode>General</c:formatCode>
                <c:ptCount val="7"/>
                <c:pt idx="0">
                  <c:v>36</c:v>
                </c:pt>
                <c:pt idx="1">
                  <c:v>60</c:v>
                </c:pt>
                <c:pt idx="2">
                  <c:v>36</c:v>
                </c:pt>
                <c:pt idx="3">
                  <c:v>23</c:v>
                </c:pt>
                <c:pt idx="4">
                  <c:v>19</c:v>
                </c:pt>
                <c:pt idx="5">
                  <c:v>47</c:v>
                </c:pt>
                <c:pt idx="6">
                  <c:v>27</c:v>
                </c:pt>
              </c:numCache>
            </c:numRef>
          </c:val>
          <c:extLst>
            <c:ext xmlns:c16="http://schemas.microsoft.com/office/drawing/2014/chart" uri="{C3380CC4-5D6E-409C-BE32-E72D297353CC}">
              <c16:uniqueId val="{00000000-1971-4C2F-AAF1-316DE3EE5C0D}"/>
            </c:ext>
          </c:extLst>
        </c:ser>
        <c:dLbls>
          <c:showLegendKey val="0"/>
          <c:showVal val="0"/>
          <c:showCatName val="0"/>
          <c:showSerName val="0"/>
          <c:showPercent val="0"/>
          <c:showBubbleSize val="0"/>
        </c:dLbls>
        <c:gapWidth val="89"/>
        <c:shape val="box"/>
        <c:axId val="1142017167"/>
        <c:axId val="1142018127"/>
        <c:axId val="0"/>
      </c:bar3DChart>
      <c:catAx>
        <c:axId val="1142017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18127"/>
        <c:crosses val="autoZero"/>
        <c:auto val="1"/>
        <c:lblAlgn val="ctr"/>
        <c:lblOffset val="100"/>
        <c:noMultiLvlLbl val="0"/>
      </c:catAx>
      <c:valAx>
        <c:axId val="114201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1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Project.xlsx]Sheet3!PivotTable6</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Products are popular</a:t>
            </a:r>
            <a:endParaRPr lang="en-US"/>
          </a:p>
        </c:rich>
      </c:tx>
      <c:layout>
        <c:manualLayout>
          <c:xMode val="edge"/>
          <c:yMode val="edge"/>
          <c:x val="0.19824784931633332"/>
          <c:y val="2.87425185839368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8000">
                <a:srgbClr val="C87B12"/>
              </a:gs>
              <a:gs pos="0">
                <a:srgbClr val="FFC000"/>
              </a:gs>
              <a:gs pos="0">
                <a:schemeClr val="tx2">
                  <a:lumMod val="50000"/>
                  <a:lumOff val="50000"/>
                </a:schemeClr>
              </a:gs>
              <a:gs pos="97000">
                <a:schemeClr val="accent5">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gradFill flip="none" rotWithShape="1">
              <a:gsLst>
                <a:gs pos="58000">
                  <a:srgbClr val="C87B12"/>
                </a:gs>
                <a:gs pos="0">
                  <a:srgbClr val="FFC000"/>
                </a:gs>
                <a:gs pos="0">
                  <a:schemeClr val="tx2">
                    <a:lumMod val="50000"/>
                    <a:lumOff val="50000"/>
                  </a:schemeClr>
                </a:gs>
                <a:gs pos="97000">
                  <a:schemeClr val="accent5">
                    <a:lumMod val="70000"/>
                  </a:schemeClr>
                </a:gs>
              </a:gsLst>
              <a:lin ang="2700000" scaled="1"/>
              <a:tileRect/>
            </a:gradFill>
            <a:ln>
              <a:noFill/>
            </a:ln>
            <a:effectLst/>
          </c:spPr>
          <c:invertIfNegative val="1"/>
          <c:cat>
            <c:strRef>
              <c:f>Sheet3!$A$4:$A$24</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Sheet3!$B$4:$B$24</c:f>
              <c:numCache>
                <c:formatCode>General</c:formatCode>
                <c:ptCount val="20"/>
                <c:pt idx="0">
                  <c:v>240</c:v>
                </c:pt>
                <c:pt idx="1">
                  <c:v>233</c:v>
                </c:pt>
                <c:pt idx="2">
                  <c:v>130</c:v>
                </c:pt>
                <c:pt idx="3">
                  <c:v>99</c:v>
                </c:pt>
                <c:pt idx="4">
                  <c:v>97</c:v>
                </c:pt>
                <c:pt idx="5">
                  <c:v>91</c:v>
                </c:pt>
                <c:pt idx="6">
                  <c:v>88</c:v>
                </c:pt>
                <c:pt idx="7">
                  <c:v>85</c:v>
                </c:pt>
                <c:pt idx="8">
                  <c:v>81</c:v>
                </c:pt>
                <c:pt idx="9">
                  <c:v>52</c:v>
                </c:pt>
                <c:pt idx="10">
                  <c:v>42</c:v>
                </c:pt>
                <c:pt idx="11">
                  <c:v>37</c:v>
                </c:pt>
                <c:pt idx="12">
                  <c:v>31</c:v>
                </c:pt>
                <c:pt idx="13">
                  <c:v>29</c:v>
                </c:pt>
                <c:pt idx="14">
                  <c:v>25</c:v>
                </c:pt>
                <c:pt idx="15">
                  <c:v>21</c:v>
                </c:pt>
                <c:pt idx="16">
                  <c:v>21</c:v>
                </c:pt>
                <c:pt idx="17">
                  <c:v>10</c:v>
                </c:pt>
                <c:pt idx="18">
                  <c:v>2</c:v>
                </c:pt>
                <c:pt idx="19">
                  <c:v>1</c:v>
                </c:pt>
              </c:numCache>
            </c:numRef>
          </c:val>
          <c:extLst>
            <c:ext xmlns:c16="http://schemas.microsoft.com/office/drawing/2014/chart" uri="{C3380CC4-5D6E-409C-BE32-E72D297353CC}">
              <c16:uniqueId val="{00000000-3519-493B-AC68-3562F906B2C3}"/>
            </c:ext>
          </c:extLst>
        </c:ser>
        <c:dLbls>
          <c:showLegendKey val="0"/>
          <c:showVal val="0"/>
          <c:showCatName val="0"/>
          <c:showSerName val="0"/>
          <c:showPercent val="0"/>
          <c:showBubbleSize val="0"/>
        </c:dLbls>
        <c:gapWidth val="0"/>
        <c:overlap val="100"/>
        <c:axId val="1811133231"/>
        <c:axId val="1811117391"/>
      </c:barChart>
      <c:catAx>
        <c:axId val="1811133231"/>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17391"/>
        <c:crosses val="autoZero"/>
        <c:auto val="1"/>
        <c:lblAlgn val="ctr"/>
        <c:lblOffset val="100"/>
        <c:noMultiLvlLbl val="0"/>
      </c:catAx>
      <c:valAx>
        <c:axId val="18111173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13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Project.xlsx]Sheet3!PivotTable7</c:name>
    <c:fmtId val="6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Sheet3!$H$9</c:f>
              <c:strCache>
                <c:ptCount val="1"/>
                <c:pt idx="0">
                  <c:v>Total</c:v>
                </c:pt>
              </c:strCache>
            </c:strRef>
          </c:tx>
          <c:spPr>
            <a:ln>
              <a:noFill/>
            </a:ln>
          </c:spPr>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74E-443E-96A9-1C680F12631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74E-443E-96A9-1C680F12631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74E-443E-96A9-1C680F126310}"/>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74E-443E-96A9-1C680F126310}"/>
              </c:ext>
            </c:extLst>
          </c:dPt>
          <c:cat>
            <c:strRef>
              <c:f>Sheet3!$G$10:$G$14</c:f>
              <c:strCache>
                <c:ptCount val="4"/>
                <c:pt idx="0">
                  <c:v>Female</c:v>
                </c:pt>
                <c:pt idx="1">
                  <c:v>Male</c:v>
                </c:pt>
                <c:pt idx="2">
                  <c:v>Others</c:v>
                </c:pt>
                <c:pt idx="3">
                  <c:v>Unknown</c:v>
                </c:pt>
              </c:strCache>
            </c:strRef>
          </c:cat>
          <c:val>
            <c:numRef>
              <c:f>Sheet3!$H$10:$H$14</c:f>
              <c:numCache>
                <c:formatCode>General</c:formatCode>
                <c:ptCount val="4"/>
                <c:pt idx="0">
                  <c:v>733</c:v>
                </c:pt>
                <c:pt idx="1">
                  <c:v>479</c:v>
                </c:pt>
                <c:pt idx="2">
                  <c:v>17</c:v>
                </c:pt>
                <c:pt idx="3">
                  <c:v>186</c:v>
                </c:pt>
              </c:numCache>
            </c:numRef>
          </c:val>
          <c:extLst>
            <c:ext xmlns:c16="http://schemas.microsoft.com/office/drawing/2014/chart" uri="{C3380CC4-5D6E-409C-BE32-E72D297353CC}">
              <c16:uniqueId val="{00000008-574E-443E-96A9-1C680F126310}"/>
            </c:ext>
          </c:extLst>
        </c:ser>
        <c:dLbls>
          <c:showLegendKey val="0"/>
          <c:showVal val="0"/>
          <c:showCatName val="0"/>
          <c:showSerName val="0"/>
          <c:showPercent val="0"/>
          <c:showBubbleSize val="0"/>
          <c:showLeaderLines val="1"/>
        </c:dLbls>
        <c:firstSliceAng val="0"/>
        <c:holeSize val="67"/>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dkDnDiag">
            <a:fgClr>
              <a:schemeClr val="accent1">
                <a:lumMod val="50000"/>
              </a:schemeClr>
            </a:fgClr>
            <a:bgClr>
              <a:schemeClr val="tx2">
                <a:lumMod val="75000"/>
                <a:lumOff val="25000"/>
              </a:schemeClr>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pattFill prst="dkDnDiag">
              <a:fgClr>
                <a:schemeClr val="accent1">
                  <a:lumMod val="50000"/>
                </a:schemeClr>
              </a:fgClr>
              <a:bgClr>
                <a:schemeClr val="tx2">
                  <a:lumMod val="75000"/>
                  <a:lumOff val="25000"/>
                </a:schemeClr>
              </a:bgClr>
            </a:pattFill>
            <a:ln>
              <a:noFill/>
            </a:ln>
            <a:effectLst/>
          </c:spPr>
          <c:invertIfNegative val="0"/>
          <c:cat>
            <c:strRef>
              <c:f>Sheet4!$A$4:$A$15</c:f>
              <c:strCache>
                <c:ptCount val="11"/>
                <c:pt idx="0">
                  <c:v>0</c:v>
                </c:pt>
                <c:pt idx="1">
                  <c:v>1</c:v>
                </c:pt>
                <c:pt idx="2">
                  <c:v>2</c:v>
                </c:pt>
                <c:pt idx="3">
                  <c:v>3</c:v>
                </c:pt>
                <c:pt idx="4">
                  <c:v>4</c:v>
                </c:pt>
                <c:pt idx="5">
                  <c:v>5</c:v>
                </c:pt>
                <c:pt idx="6">
                  <c:v>6</c:v>
                </c:pt>
                <c:pt idx="7">
                  <c:v>7</c:v>
                </c:pt>
                <c:pt idx="8">
                  <c:v>8</c:v>
                </c:pt>
                <c:pt idx="9">
                  <c:v>9</c:v>
                </c:pt>
                <c:pt idx="10">
                  <c:v>13</c:v>
                </c:pt>
              </c:strCache>
            </c:strRef>
          </c:cat>
          <c:val>
            <c:numRef>
              <c:f>Sheet4!$B$4:$B$15</c:f>
              <c:numCache>
                <c:formatCode>General</c:formatCode>
                <c:ptCount val="11"/>
                <c:pt idx="0">
                  <c:v>17</c:v>
                </c:pt>
                <c:pt idx="1">
                  <c:v>86</c:v>
                </c:pt>
                <c:pt idx="2">
                  <c:v>50</c:v>
                </c:pt>
                <c:pt idx="3">
                  <c:v>37</c:v>
                </c:pt>
                <c:pt idx="4">
                  <c:v>28</c:v>
                </c:pt>
                <c:pt idx="5">
                  <c:v>12</c:v>
                </c:pt>
                <c:pt idx="6">
                  <c:v>11</c:v>
                </c:pt>
                <c:pt idx="7">
                  <c:v>2</c:v>
                </c:pt>
                <c:pt idx="8">
                  <c:v>3</c:v>
                </c:pt>
                <c:pt idx="9">
                  <c:v>1</c:v>
                </c:pt>
                <c:pt idx="10">
                  <c:v>1</c:v>
                </c:pt>
              </c:numCache>
            </c:numRef>
          </c:val>
          <c:extLst>
            <c:ext xmlns:c16="http://schemas.microsoft.com/office/drawing/2014/chart" uri="{C3380CC4-5D6E-409C-BE32-E72D297353CC}">
              <c16:uniqueId val="{00000000-15D1-4A0A-9A9C-271A1F8805CE}"/>
            </c:ext>
          </c:extLst>
        </c:ser>
        <c:dLbls>
          <c:showLegendKey val="0"/>
          <c:showVal val="0"/>
          <c:showCatName val="0"/>
          <c:showSerName val="0"/>
          <c:showPercent val="0"/>
          <c:showBubbleSize val="0"/>
        </c:dLbls>
        <c:gapWidth val="20"/>
        <c:overlap val="-27"/>
        <c:axId val="43034224"/>
        <c:axId val="43031824"/>
      </c:barChart>
      <c:catAx>
        <c:axId val="4303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1824"/>
        <c:crosses val="autoZero"/>
        <c:auto val="1"/>
        <c:lblAlgn val="ctr"/>
        <c:lblOffset val="100"/>
        <c:noMultiLvlLbl val="0"/>
      </c:catAx>
      <c:valAx>
        <c:axId val="4303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 Project.xlsx]Sheet2!PivotTable1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satisfied our customers 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1</c:v>
                </c:pt>
              </c:strCache>
            </c:strRef>
          </c:tx>
          <c:spPr>
            <a:solidFill>
              <a:schemeClr val="accent1"/>
            </a:solidFill>
            <a:ln>
              <a:noFill/>
            </a:ln>
            <a:effectLst/>
          </c:spPr>
          <c:invertIfNegative val="0"/>
          <c:cat>
            <c:strRef>
              <c:f>Sheet2!$A$5:$A$8</c:f>
              <c:strCache>
                <c:ptCount val="3"/>
                <c:pt idx="0">
                  <c:v>Jan</c:v>
                </c:pt>
                <c:pt idx="1">
                  <c:v>Feb</c:v>
                </c:pt>
                <c:pt idx="2">
                  <c:v>Mar</c:v>
                </c:pt>
              </c:strCache>
            </c:strRef>
          </c:cat>
          <c:val>
            <c:numRef>
              <c:f>Sheet2!$B$5:$B$8</c:f>
              <c:numCache>
                <c:formatCode>General</c:formatCode>
                <c:ptCount val="3"/>
                <c:pt idx="0">
                  <c:v>2</c:v>
                </c:pt>
                <c:pt idx="1">
                  <c:v>1</c:v>
                </c:pt>
                <c:pt idx="2">
                  <c:v>2</c:v>
                </c:pt>
              </c:numCache>
            </c:numRef>
          </c:val>
          <c:extLst>
            <c:ext xmlns:c16="http://schemas.microsoft.com/office/drawing/2014/chart" uri="{C3380CC4-5D6E-409C-BE32-E72D297353CC}">
              <c16:uniqueId val="{00000000-31ED-406F-A757-BD7AEC76E0DC}"/>
            </c:ext>
          </c:extLst>
        </c:ser>
        <c:ser>
          <c:idx val="1"/>
          <c:order val="1"/>
          <c:tx>
            <c:strRef>
              <c:f>Sheet2!$C$3:$C$4</c:f>
              <c:strCache>
                <c:ptCount val="1"/>
                <c:pt idx="0">
                  <c:v>2</c:v>
                </c:pt>
              </c:strCache>
            </c:strRef>
          </c:tx>
          <c:spPr>
            <a:solidFill>
              <a:schemeClr val="accent2"/>
            </a:solidFill>
            <a:ln>
              <a:noFill/>
            </a:ln>
            <a:effectLst/>
          </c:spPr>
          <c:invertIfNegative val="0"/>
          <c:cat>
            <c:strRef>
              <c:f>Sheet2!$A$5:$A$8</c:f>
              <c:strCache>
                <c:ptCount val="3"/>
                <c:pt idx="0">
                  <c:v>Jan</c:v>
                </c:pt>
                <c:pt idx="1">
                  <c:v>Feb</c:v>
                </c:pt>
                <c:pt idx="2">
                  <c:v>Mar</c:v>
                </c:pt>
              </c:strCache>
            </c:strRef>
          </c:cat>
          <c:val>
            <c:numRef>
              <c:f>Sheet2!$C$5:$C$8</c:f>
              <c:numCache>
                <c:formatCode>General</c:formatCode>
                <c:ptCount val="3"/>
                <c:pt idx="0">
                  <c:v>2</c:v>
                </c:pt>
                <c:pt idx="1">
                  <c:v>4</c:v>
                </c:pt>
                <c:pt idx="2">
                  <c:v>5</c:v>
                </c:pt>
              </c:numCache>
            </c:numRef>
          </c:val>
          <c:extLst>
            <c:ext xmlns:c16="http://schemas.microsoft.com/office/drawing/2014/chart" uri="{C3380CC4-5D6E-409C-BE32-E72D297353CC}">
              <c16:uniqueId val="{00000001-31ED-406F-A757-BD7AEC76E0DC}"/>
            </c:ext>
          </c:extLst>
        </c:ser>
        <c:ser>
          <c:idx val="2"/>
          <c:order val="2"/>
          <c:tx>
            <c:strRef>
              <c:f>Sheet2!$D$3:$D$4</c:f>
              <c:strCache>
                <c:ptCount val="1"/>
                <c:pt idx="0">
                  <c:v>3</c:v>
                </c:pt>
              </c:strCache>
            </c:strRef>
          </c:tx>
          <c:spPr>
            <a:solidFill>
              <a:schemeClr val="accent3"/>
            </a:solidFill>
            <a:ln>
              <a:noFill/>
            </a:ln>
            <a:effectLst/>
          </c:spPr>
          <c:invertIfNegative val="0"/>
          <c:cat>
            <c:strRef>
              <c:f>Sheet2!$A$5:$A$8</c:f>
              <c:strCache>
                <c:ptCount val="3"/>
                <c:pt idx="0">
                  <c:v>Jan</c:v>
                </c:pt>
                <c:pt idx="1">
                  <c:v>Feb</c:v>
                </c:pt>
                <c:pt idx="2">
                  <c:v>Mar</c:v>
                </c:pt>
              </c:strCache>
            </c:strRef>
          </c:cat>
          <c:val>
            <c:numRef>
              <c:f>Sheet2!$D$5:$D$8</c:f>
              <c:numCache>
                <c:formatCode>General</c:formatCode>
                <c:ptCount val="3"/>
                <c:pt idx="0">
                  <c:v>13</c:v>
                </c:pt>
                <c:pt idx="1">
                  <c:v>14</c:v>
                </c:pt>
                <c:pt idx="2">
                  <c:v>13</c:v>
                </c:pt>
              </c:numCache>
            </c:numRef>
          </c:val>
          <c:extLst>
            <c:ext xmlns:c16="http://schemas.microsoft.com/office/drawing/2014/chart" uri="{C3380CC4-5D6E-409C-BE32-E72D297353CC}">
              <c16:uniqueId val="{00000002-31ED-406F-A757-BD7AEC76E0DC}"/>
            </c:ext>
          </c:extLst>
        </c:ser>
        <c:ser>
          <c:idx val="3"/>
          <c:order val="3"/>
          <c:tx>
            <c:strRef>
              <c:f>Sheet2!$E$3:$E$4</c:f>
              <c:strCache>
                <c:ptCount val="1"/>
                <c:pt idx="0">
                  <c:v>4</c:v>
                </c:pt>
              </c:strCache>
            </c:strRef>
          </c:tx>
          <c:spPr>
            <a:solidFill>
              <a:schemeClr val="accent4"/>
            </a:solidFill>
            <a:ln>
              <a:noFill/>
            </a:ln>
            <a:effectLst/>
          </c:spPr>
          <c:invertIfNegative val="0"/>
          <c:cat>
            <c:strRef>
              <c:f>Sheet2!$A$5:$A$8</c:f>
              <c:strCache>
                <c:ptCount val="3"/>
                <c:pt idx="0">
                  <c:v>Jan</c:v>
                </c:pt>
                <c:pt idx="1">
                  <c:v>Feb</c:v>
                </c:pt>
                <c:pt idx="2">
                  <c:v>Mar</c:v>
                </c:pt>
              </c:strCache>
            </c:strRef>
          </c:cat>
          <c:val>
            <c:numRef>
              <c:f>Sheet2!$E$5:$E$8</c:f>
              <c:numCache>
                <c:formatCode>General</c:formatCode>
                <c:ptCount val="3"/>
                <c:pt idx="0">
                  <c:v>42</c:v>
                </c:pt>
                <c:pt idx="1">
                  <c:v>36</c:v>
                </c:pt>
                <c:pt idx="2">
                  <c:v>31</c:v>
                </c:pt>
              </c:numCache>
            </c:numRef>
          </c:val>
          <c:extLst>
            <c:ext xmlns:c16="http://schemas.microsoft.com/office/drawing/2014/chart" uri="{C3380CC4-5D6E-409C-BE32-E72D297353CC}">
              <c16:uniqueId val="{00000003-31ED-406F-A757-BD7AEC76E0DC}"/>
            </c:ext>
          </c:extLst>
        </c:ser>
        <c:ser>
          <c:idx val="4"/>
          <c:order val="4"/>
          <c:tx>
            <c:strRef>
              <c:f>Sheet2!$F$3:$F$4</c:f>
              <c:strCache>
                <c:ptCount val="1"/>
                <c:pt idx="0">
                  <c:v>5</c:v>
                </c:pt>
              </c:strCache>
            </c:strRef>
          </c:tx>
          <c:spPr>
            <a:solidFill>
              <a:schemeClr val="accent5"/>
            </a:solidFill>
            <a:ln>
              <a:noFill/>
            </a:ln>
            <a:effectLst/>
          </c:spPr>
          <c:invertIfNegative val="0"/>
          <c:cat>
            <c:strRef>
              <c:f>Sheet2!$A$5:$A$8</c:f>
              <c:strCache>
                <c:ptCount val="3"/>
                <c:pt idx="0">
                  <c:v>Jan</c:v>
                </c:pt>
                <c:pt idx="1">
                  <c:v>Feb</c:v>
                </c:pt>
                <c:pt idx="2">
                  <c:v>Mar</c:v>
                </c:pt>
              </c:strCache>
            </c:strRef>
          </c:cat>
          <c:val>
            <c:numRef>
              <c:f>Sheet2!$F$5:$F$8</c:f>
              <c:numCache>
                <c:formatCode>General</c:formatCode>
                <c:ptCount val="3"/>
                <c:pt idx="0">
                  <c:v>24</c:v>
                </c:pt>
                <c:pt idx="1">
                  <c:v>37</c:v>
                </c:pt>
                <c:pt idx="2">
                  <c:v>22</c:v>
                </c:pt>
              </c:numCache>
            </c:numRef>
          </c:val>
          <c:extLst>
            <c:ext xmlns:c16="http://schemas.microsoft.com/office/drawing/2014/chart" uri="{C3380CC4-5D6E-409C-BE32-E72D297353CC}">
              <c16:uniqueId val="{00000004-31ED-406F-A757-BD7AEC76E0DC}"/>
            </c:ext>
          </c:extLst>
        </c:ser>
        <c:dLbls>
          <c:showLegendKey val="0"/>
          <c:showVal val="0"/>
          <c:showCatName val="0"/>
          <c:showSerName val="0"/>
          <c:showPercent val="0"/>
          <c:showBubbleSize val="0"/>
        </c:dLbls>
        <c:gapWidth val="219"/>
        <c:overlap val="-27"/>
        <c:axId val="42990544"/>
        <c:axId val="42993424"/>
      </c:barChart>
      <c:catAx>
        <c:axId val="4299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3424"/>
        <c:crosses val="autoZero"/>
        <c:auto val="1"/>
        <c:lblAlgn val="ctr"/>
        <c:lblOffset val="100"/>
        <c:noMultiLvlLbl val="0"/>
      </c:catAx>
      <c:valAx>
        <c:axId val="429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9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 </a:t>
          </a:r>
        </a:p>
      </cx:txPr>
    </cx:title>
    <cx:plotArea>
      <cx:plotAreaRegion>
        <cx:series layoutId="regionMap" uniqueId="{607C9764-76A6-4DD4-B291-03A815A14BE1}">
          <cx:spPr>
            <a:ln>
              <a:solidFill>
                <a:schemeClr val="accent1"/>
              </a:solidFill>
            </a:ln>
          </cx:spPr>
          <cx:dataLabels>
            <cx:visibility seriesName="0" categoryName="0" value="1"/>
          </cx:dataLabels>
          <cx:dataId val="0"/>
          <cx:layoutPr>
            <cx:regionLabelLayout val="none"/>
            <cx:geography cultureLanguage="en-US" cultureRegion="US" attribution="Powered by Bing">
              <cx:geoCache provider="{E9337A44-BEBE-4D9F-B70C-5C5E7DAFC167}">
                <cx:binary>5H1pc9u40u5fSeXzpYcASCyn3nmrhtTmNXbsbPOFpdgKwX0BuP7627KdHIuic+iqUd06upo5ZyqR
GmrqAbobTzca/3Pf/us+3qzLd20Sp+pf9+2f76XW+b/++EPdy02yVidJcF9mKvuhT+6z5I/sx4/g
fvPHQ7lugtT/A5vI+uNerku9ad//7//AaP4mu8ju1zrI0ptqU3YfN6qKtfrNe6NvvVs/JEE6C5Qu
g3uN/nzvruPgR1amwfr97nv4z/ffsjh752ZVqrv37zapDnR31+WbP9/vDILfv/tj+F17er2LQXVd
PYAw4SeUMUtYpv3+XZyl/vPfGwijE3iDIUTRz++7WicgMlWRRzXWDw/lRil4msf/DqR3VIfH/+s/
PPb99vG3P7cPv/yf7z+lgd48vLvVa71R798FKnv8fcrOzbbP9un28cf4Yxew//2fwV/AzzP4mxeY
Dn/L//TWLmz/AdLbdarX79yy6g8ALD0RzEKWiah4fPEhvvjExJybpqC7+L5Nq3GUR8aYgPWI1JEh
frFWapP+82hb5omFbIsLbD69yBBt84TC2xanbBft6RqNIz2Qn4DyQOLIEP4rBiP5AKv6H7fU7ISb
FseckqcFDUDuGmx8ghm2GAUf8OQfnuz1GzQah3g4wASMhyJHBvJdFa/LzQEwpieEmAgWsXhaxuB6
dzBG4gQLzjmyYYG/BHm6RuMYD+QnQDyQODKE3QwCje0qVlsP/Y+vZX5iIi4EIexV54yIxW2GwG2/
xPmteo2jPTrKBMxH5Y4M+dtK6015AMzFCSIYYwisX8EcnVBsI8vaC8gmazSO9uCJJuA8kDgyhK82
9fogHhqMM8WME9N+JQhDsOyFZe8hPF2jcYQH8hMQHkgcGcJ/xXmQHsI/w25ZEJtCqD2+hsE/M3jZ
NrN27fZ0jcYRHshPQHggcWQIfwanWD066OofJkSsE8xNWMOvuebHEIwgk5oD1/wGlcYxHg4wAeSh
yJGh/FeyfsgO4Yv5CYGNEvAfsEx3AmxswgLGWJDnCHzAfU1XaBzigfwEhAcSRwbw+aY8ABtC7BPC
CFCaFn11G7WNvyEeG7AhU/UZR3dHegK2O58/MmRnm/jdVQaU+T8fSVvATNsWLNPtFmr72mNCwIab
FgEmZECFvEmpcYz3h5gA9L7QkaF9u74vgfdK9WFSFDaDsMvi5itwoxNIYMA/sOS3r4HNfptu46iP
jDEB9hGpI8Pd2W5N//kVTsSJjfCjBX+CfC95gU5ssO4INtO7cfZkhcZx3hWfAPGuwJGhe5vF6/Qw
K3pLdHDGyLh/xpCbsgS3TWuYm5qs0Ti+gyeaAPBA4tgQXqfvzrJ1UQWHCMPYibDBU2PrOSu1l5RC
wGZjILzEE2EyWMuQDnyLcq8gPjLIFNhHxI4Meyg2WNebcq0OYL/5CRIUqE7GnhY4xGHDbRYFdw4m
frDA36TUOOL7Q0zAe1/oyNDeLiZnAwUTh7Dn9ITbYNExsZ/ctRjCDRGaiU2KhnC/TatxvEfGmAD4
iNSRIX61ztcHWdpYQJoZIq+npb1n1CENDYUGps0Hm6+p+oyjvCM9Ad+dzx8Zsm4WV+oQ2EICY2uU
gd9+xWxDXAbcKIUcxm7YPV2jcXQH8hPwHUgcGcLz+N0sK4H8PMgCZlhQGz+XkYg9Yw0UqBAQnttP
7NkgKnuTauNo7w8xAfB9of8CzH+v4s5Tb2sF//q5qkYqO99a2MlOMOyQqUCvl5JQxDBD1nM++ud3
P1UNQUD0qxT1qQBhTKdxfF/K7jzj0yP+/kf5r6vi/FZ9P4wtBmRsG4nXQmigQDij3KKDUqCp+oxj
tyM9At7OX23Lkl8+/ZEhCzHitvoHar0OATCDWi+LQabpmcUe4bi2lV5QLjBwtm9UaxznsUF2sB0v
xx4TOzLULzflPVSVu/940RcAblJBOX0NcCji5bDeERvlsafrNY74QH4C2AOJI8N5AQcTDsJu0hNG
EAXT/exYhwHWtkiE2/APGizs6RqNIzyQn4DwQOLIEL5YR4dJTkByETETTPfja4/cwicC2YiCd96N
qabqM47ujvQEbHc+f2TILuNNegjGGvJO2ISYCwNyu4QlBkaTI0bsAasxWZNxUHfFJ6C6K3BksH4o
16l/iCVLYEsLO1pOX6vbg8MVNtT80GHyeLpG4/gO5CcAPJA4MoRXVfI9ix/0Px9ewREoxoFhtvbX
rnUChxghzgZe8vG1a5XfotI4yHsjTIB5T+bIgD6Hk7OHyCzBCRnIKkHS8JVUAwRXFN4DenpY2jVV
oXGMd59nAsC7AkeG7mmSb8pgHf/zy5hgMNWY2xBhjecXkH1iQ3BtI6jf3L4G9ORbNBtHem+ECWDv
yRwZ3ndlAKnD7p+He2u1YUFDmcDzMeW9Wj4IpiGZhCApsWu236DSOM7DASbAPBQ5MpRP0+4QCQfI
DpsY4mpoM/DT/+7E1mhbLSAoBbZrF+Kp+ozjuyM9Adydzx8ZsheZevcXhNbx5hA+2ToxbYwJ/+mT
h0wmAIytLdkJm+YRk/1G5cbRHhtkAuhjYkeG/RNl66zL74fhsa0TqO+CvgKQaRpf3hCRCU4sMOE/
339KKD0lmt6s3jj+48NMmAHjgkc2By7hOPOm3BzAgRMKDWSghQwxn/NUe/UgcKzVppClGvYleItO
45jvjTAB7j2ZY0N6XQZ5dpDqEAbpCQtiNf5czgkB2a4fFyeCWoxjoEYfX7ve/PINmr2C93CEKXgP
ZY4O7weo4fznA3NY11DBCXQne64FGqINJ+VMCocyoHxgiPNUjV5DeUd+EsY7EkeG8HVcQYuyAyAM
y5VQBoVAz457b+tlwtaLCxtOPO8iPF2jcYQH8hMQHkgcGcJby3iIbAbU3zMLttbmc6nXMC6HYxY2
QdvQbbDxmqzQOL674hPg3RU4MnQhwHy3gMTGfaDus58LaaSYChJLb2vdx4DwNk0G2+YndzvMMwO8
EJkjm5OBhd7RaIphGYd5fJgJcI8LHhnsl5v0IbsPDlJhAK1ktlwKY88c6Z5vJlDIyygh26OxLzdb
b1JqHPX9ISYgvi90bGhnAPaUpfS2NQ5HnS1hggv+2cVxLy9tnsABK2hHggZVgJdTFXoF5R3xKQjv
CBwdugdZxkCLQaeYX/Vge+fYt61GoEUnVIAODDhsYicRta9h+0J6ErQvPn9kyF7H6/uDdPviJ4Db
tubgufx6hBYBQhySXPiX835pqKfrNY7xQH4CygOJI8P5NtiUB9kmQ8UQNQmUFjzVbJp7OJsn8Cbw
o3CaeYT7nq7XOM4D+Qk4DySODWcIti+hHfQk8/g2X0we+S8GFdvPpQd7+2U4+YahYFtYg1TlNt6d
rNQrOO8NMQXqPaEjQ/tjAAeYVfBwmJIxwU2bkOcWQts6g122E8q54Xgz1JkMnPOblBpHe3+ICWjv
Cx0Z2ncbuU4OQHVCDQIUk1DIYb6SwYKNNJxUh8PL28688Bos7+l6jaM9kJ8A9UDiyHDemksHGoOt
y4fDbJ+hHhBOsSIOvZYfX0OfjeDsHBSdQPy2u3t+u2LjgL8yzgTgX5E8wgkwCzb+IZw4lJchoESh
xGzfniNKOMyKZ/e+j/1knV6HfXeIiYjvCh0h2BdVoN59+B6o/BCQ29CQAFNovAts6fY19OSQyQLr
b0IzqZH1/kbVXkd+bKCJ+I+JHtsskOuDdFoH3w69eGFdk9eO0eITWPQmhxkyWPCTNXoF8135KVDv
ShwbwoGKgi6rDkKSwoE7KEv4eTMGLOOdUB3iNwpdm23IVw8wfoNOr6A8HGEKzkOZY0Ma2MlDxOlw
V5VFBIXuM6+VGj06d2pBUcIA58kavYLyrvwUjHcljgzhuwo60CQH6bAOOWsOwTc0hXvVWQPbhhDH
g7X8Fp3GUd4bYQLOezJHhjTcrZYGKl5XhyhAYXBUx4QjlfS1g7RwX4K5rRxmg/qEt2k1jvbIGBPw
HpH6f4H46xfW/brsb7bW6/njNYEv7qz7/buPPxTcbTgQfc4gj5csPCUtTh/+fA+5aAIcNyzLX2UM
24F28s+/2uz9tM+7ghsIAv98D3cPQm3Zlouh1IKWCXTLpzabX29Bu0g4DwIpUaht2BaVptBmWj5e
ZWhvCw+hxwJGBKpa4C2VVY9vwfFOOGUCk23bvAouxaO/7nG8zuLOz9JfP8zzn9+lVXKdBalWMDCB
6Zc/fW6rrw29zQhkZSl8k2lB/oaBfvn9+uP2hBn8Dv8n9XldxzXPPphm7K9y31tK3+BOSZrzitWd
21RYXbQVzpbE7MlStNV1Glq9S9Lke2nhbKYMtYo7ac8FgdsM/YYSJ7Rk4VbS6p3QaPBMam44rKD9
zGja5LrwxRdp96Vbl4S4rdmfc49clLa14pmwZ7Yhl0WXf/G4n7l9wS/7stNzlkX1Ci6uPPOTsHAi
yz7reZA4vsUuKbY++XZeOTrgN6Jh0SwtgxttlmtINqcut/3PdWLnThNI301bVrtR3V/SlH1pvUi5
iJCvIs6+0LY+FxG6aFh8Z9jJpeZN7paN/JSWnukYKFmlXnPOeutjmoYL5BvfcNC6fuEvtFkwV5X5
Rc6yr3Dp2RWRSehIu13WrZ06MCnWOubKSdtYOgbT84D20kFtHM9I2VKn84puznlazeu67hwvTD6U
TYud1CerTOLAaZvqqonryvH7Bi3tSC9CWnxsozp07QilroH7a+LRe6zzu6jqFg1HiUP89Lq16KKT
yWmAE+14TF3Tin2ShefPc6v7SgMVOEFj5zPorBS5cRpkCxJ0apZittRlf1O2KVsgGZ+1KN7IPikc
rvEnKkvkljH2XJqJD2HN8FXssVXL/dviypKntAods+HntAtDF/JJi4DVmWMVwTzQfTjXRNfLsuJf
JaW+UxUpduIsWKIkTZ0oye4jRrNZqLvQwQVaxJzNOtOfd7pbBV0dOkkSfi9LsoFiwE2Tmf7KL6wr
n/qnbV34TmfWyTzsYuszsSNzZnYcO8wL4DKo4iyx6Wlso0u7kouS+9ECxUE579oWu9in3ZJXecac
1K70vKmNmyBvHkQfNaVrm0HommWx7AtLOUwXZ5ZRYLew8pWgmXQy7IVOyhmfQTi3woafLrOyXUfC
ugvMbFarZG5q0/Vh6sI8El8yUhNXFrq+LSxUzAPht/OIVR1MBMlc1FdoruM8dIgdfxS1P6PYIw4J
5Gkq6IVXK+QkURnOYj+EdcHias7DHC1IkWEHeraYCyMmsWsGfXXe4fTGM+Q98RvrRnvJR15aptNS
Up7mCp5F6qZxjb6aKyuLHd/sP2QZrJQwaVuHyPzaY/aFTExzlpuh5dAQfsCU/q01OlPZTWBZuVOW
/JrzxDttaXbVenHj1Lo5Ezh7sFScO0UXrhMryecsUtHMaI1olvcwPxq7wDAlbH8me2NJOjfs/8Y+
eajLizA8VVkzD7KicwsPpkGdeOuu72sHd8Wl10fISYlx2+bWKkXScLpCfjb8aBNVsGRwmsHczu2F
EsVpYiS5IwgmszqO74rU+yHqrHH9FuYdidnSgjtk51bbF46R99qp/SK9MHBrX6I0uTOCpLhq686A
Oc/CORO9N2v72nArz8tcvzQzRzb1ZV1G3FEsDZ1YBLeyhNlsWz46LeNQzi0PEG+9BDtR199kXk4d
1BPkqKTu3bwzPpKirGYmfJMj+8JzjJo2bhpF3qLudDjLCm2tJOBVW/Is6mCsihQ3iUXO40zdmp55
59lBNkO4PvOgqemc9H0bOCory/BD3qLyayRs1cypSmnoqio8r6o67F1dkwQvgsZLZ0UYqG9c+NK6
eHn/7I6juc/yrgx8+Xxn8K8//u9dlsC/jxfS/vsvt1cO//tPy022PTmjhh/axgS/PvXvS223PvjX
DbcDz/50b/Erbv+3b74tJoDt2G9igsduliMBwXYT9zMggCsfoEk03IkHh7+JtXXIvwIC2PRBbp3D
uQQbdg3bKx9+BgQCLkW14C1oqmQ/Vkr+OyDgJ9s+l3BLiIBBKYMa9p+/wg5OEAyNBARwzeYwIIBM
IIJSeAY7F+hbvm19+jIgaBvPjwzqWR+iPmfdaU+zhHyvJdHeB0xdkiSXRmjgFfdY7BqVvO0s33Ii
auXgNirTQR4NnCYuonkltDVTdmKuzCYKZ7wlpVvV2Rp1ve9WdrDuC9XOEiLVrFT0PE78AhZ8eB0W
4jPEIXqeJ8pyaq6COe96cxUIqmZRhTxH0Kh2GiOp57LU8UxSfV6luXAQC77UiN4EJF3SOCndrJ2l
db8MCg12yUxMJwqzm95vPmc0OwUDaDtBnFEXa8N3RaE8Jyj7tQjLG0oLE9oeYOqIGF9jU8eXldVn
Cx7Z6Qx7cQY3YRc/iOevq7DSbmKwue424LTtWWcX89og/ixO0ssWW1/y1M8dBdHEylJp4kJklbtR
jqRDMgi0ei5KF9XtOemDcI7LflNxb1Fl9TkSzRKxdgFM81IRNS/LbIZDVLvgHCK3rMlGC+xGjdc7
wnRwTy7Srl/1dsOcyvdKRzLt1klwx6s4ncVxvkoif95m4V0sjJnW6U1emufSqFwvCXy3tJObGiCt
EkvOzTYo06U2EF9wmp8hO/meKhm7AfMuzFpcpHWQulbspfQMgtXyBrVm7v0dlrGP54pkfnpj9LrL
lwlKO3Arkfm160ORObSO7rFNFq0sGyfA1b1QcgEtPn234fB2UDUbcInKDVUrnKRuV7qTV1bq8TlE
jt2i0PJHY9DSCXn3jZriTvftDarR36TMz8ys/xbUoXCprcic+dZDgNuzxvS7v2NZRE6gc+ZaBALC
uqwd2yxWoV3eeCJesZIbFxUr7roAHiuPq8Lxff7Ba1Xgctn/sGx7VkkdOXZExVzTzlz17AcKM2se
IP251rGcJbmFZzHHV5EvyNI2grPS65dtjuxZmdSla2Ty3o+K3o2rrl/wJszdsPOX2FDfgiZbZbBs
3JSnrcM76eRM9XPtp7mDaHTaNpbn8tK47jzja6nNM5oTNAtx+Mn2pD/n0LrcUV7nwGqeYV6uYhYx
l+rsLAXr78gkd6uC246k0Q8l9Yc8sda18i5o3Ifgl8IrOCN1nhNZOxDOnadNzBxMSO2GFnNKGUgn
1HWzLNrEc7QE54UF3LQQ8W89y+ZJbJ+ayv9GIpLf9gaF8Fby1omx/YkZ8rbFhmOK5mshreA0l+K0
b4tzz+f5uZepr7T1loizW4PSU0n4B0OoG2nSTW71V0lSrqIM5mZPu36Wo7Sa1dj/WNfZMjKzlV8F
yzKUYh61InVg9dC/Va1OJQ6rjx6vpROk8SJpm3OqVTT//9G1vfRRNmQJf+vV9vqnPm4dH6V+ejUE
iejtqWkTLiqywX3BgL+8Gpyq3V4jCQQJ3+5YYYf57NUs6MGMtkWj5rZxK9yBBL7w5zZ3e54DBoRj
ARwSHnDB1Vu8GtruYnd2uQIKHqCNGYXDneB4t20oXzo13ZMsL6qqvUobIuZ148ncyUjIIjdiTX1D
Dbs7C9s6jeamGelvOrPqT5Gl2sJRIi2+vPj1Rnzstn3LUBtIyYP7h208XIO9bQfxUhsr7fJIyKq+
wkWKrvyoTz2nYhmVblvrTDh1Y1XfWJ0bgVMmXINbDMvId7xeMcuFWs30QWhtfoAxZDXDcYw+9bbB
0bKjtrdBnYHaxe81xhCv7GkMZ2PhUna4BgO6D5kDjQMmAdtOX5HW9mFH0vbxpxoMDllo1mW2U3ct
CmfgHsChMdoFTheZZAmGr0Ozss70g2yVQm5g5PZM6SCrHZ1Is3ZYaYNT8rNQXkeVOEuUgGgAKHPx
WcniPIobu50HyqCXQSnrZPn7p9qHAapWTWjRArdrQb788aFfUB+sM/zGyGN1lWpPfM58sKSOFWGY
GnlatddNW4rb3EPx199/7XauvZyL0DoA7kKGcA3DXIT/26r14mtts/WtXPnpVcp7dIUiWV2lqnQD
7snPv/+mIbez/SYBlxUwC7pJCcYH8yxPra4vSpld8dy01kWTlfHS07yD/UgOTr6oYuBxYI+cuSGx
m+Q/TZrtpNh9UJgo0C3DgqsxoGnV8Osh+gXGJU2CK1ZE9joJK3sdxVsd7D5Rc1pmGezXAfolhIsN
doooYxsdC3XaiM662O5STZc0YRa5IUuTT+DkYSsneddtcqPOZ6bRJ8y1RWaVK5vQvnJ+/+ttW1gO
9WdbswE8G9xFDy0/doEyaWWntu0Zl6jyknVQauU7yIh0ajmk61L/rJFB9N3nIr+ATaRc0MxqAxej
mv3QrO8zt5M+hBxZWG+CkrCH2s4lO/u9kpa9BzLsIWASbRsSQL2mzYC0fDmdaMkDs5SaXIZWkXsQ
A2ghIfLQLRELXVeVW7aFeVMnnV05UgLBUKJ0qXCZL2Mrh/gxLpKPeWwnrcPixv/ShEl22imtndwu
8k9URXzmwd7ZrbIwBLpIk7ABikqlV01uqA+F0ZO57yMB1EbvQXiLa5msbKrjjzj0r/0uJRAPQHB1
pb3iTuPEIDMKrtxBQYfBNlhV32/ZovAiljb/5pmVdSYpRxe939bCbUxpJdA/vwtODV52idN0vJ+h
xjZmfdje56rQt5VpMOk0iWYLTxXVqeVhfFdI1ERLjxkocHoZed+hAyaEfUFaGH9XCUtmea7waZSl
+SkqRPwQ1DmFdU+S6DYQXsucurB8iOHKyoWAPl8iIE8/FE3Szq2mLBYItaiex3Dpue/Wjc8Lt8bS
myeKlLMqFx+kZ/jmDKFMr8DVYNjVmyHdMgnx1zYx5TkuRX5rE20vKwG7qYWiSb/mNCvnymzDflFH
3F8YbWuusYqbH8oHTsPtsTYrYAVx7S9aHWawOJpm3vl1xRdl5slZrAmwlPBR2CFZsFugdVIzJ1Rh
aLjMg30By+y2dywdey7RRposSxrNfavqzJuGIAs2NaUZOyHMJL0guhFq2RLWXtCo72PvpmoKnSRO
F8RdWj5IT2Lcf1ON0bJEOqIEU57dY6ApNCnhrrGqys0rHekkas9EUPTLWlTaO03KIACGCcfZrckM
chp2hFQQoYrYAyrHFC3AlXA+Sz0P/KGOo6aY06jxTaAcNfI+yMKkLFtFHWvkrGtjoS+o0gRmVONl
SDVuBb5wQQ0Zeh9qWDrUdwuec5hwJFLJIgXOTzhxAc7Lm7d1QF3Dg24gNnBvZmq5mfKSxJWiarwF
RMJxMlceRAULO/WT3uW9DRYzxZFVuYksjdipVeeraxUYSTLP/ID/MKqaBUA8ZlgvA4tX/Mo2PN87
SwnTzA6Bf1ZF360U5PdLOc99yZK5p+q+WIhSpcGii2nSrUylIGy3cRcHLmvtLl6WQREYLsCKvxh5
0qMZVPtGyQz+Zxof4tA0FPzkafolTBKRnJJS6HgeSU0/9pUmZBEaGUbnspFAVTlMYqmXXlnn6S04
Y3IW+j2OFlUOGswzHfs9bCraXrg87PLmMoEtiTc3YKmUMw+h6qwkth3PfI/41YzBVjB3AqYgPkn7
kPSbOILE94yDAsmMdIksTpEZWCs/YBHstKOoILMgC7xZX3mR7RhNmYvr0GtCyyVBEfZOkoe9cW56
sbVAuefboK5g+Rx1ss9OZYAafw7Mqmyc7eccJAKRwvTxSeG2TWD0jm4D4+8S2kMBdRfAOsJXqE+D
PnB4bRnkrosbXF3RXHTZLBWFBjo4BZfkKxaBgEgI/FpeIFH6rUdxKs+KLolhD97YfXCOtK/vrBDb
axtYPc/hCCbvooKcApkr2gegfIXCZBaTAhILvPFgfxgU3+Kmgcgi9MP6Vtm0+Z6Xkqxq1vjeHPgE
E4h+SICQhR1nYbtIyxpd9W1OrBulbXSHtAGfaKihuKtRx9p5jZMwWJUtxs1pynyFPwQGE59Ts9hO
zjAs1JLFSqrrtrM0d82iAWxkk4JimQKjew4eTHwm3ITZnYCVLGdAOrXZqVbCw9dhWUXRR8xTYZ22
VthUl7rV2+BTdu21DcxQO8+aBL46y7acbAuZhX5pRmz78FvVG7BPoFeeoCvLTuEpqsKGn0pGWdS7
Iqph6eSxHwU3aclgyZcVRAU+vAc2FetUfiiQ1ZWpQ3JpAtxN2VaXiSFz5QRmVbSLFnq3kHlXF3hr
NGAxufBEYEBagbZxsk6Tzx5cF3LG6yDgDpd2BPOi8+m6SQmo0ZZh95Ho1lTnPoS54XmWp1F4y8Fb
LFVqoqtC+MU3uACKAiVryQCfZdwX1bknM7+edSUrGghwO7LMMfysrsmK7j6KI/u6rRTsSwuzq6Mv
DU18tUo8I/nR9WJrQ4ICKALYB3AyD3An1SKnifhimF6ySJrcLxxmgZnrINv0Mci0OhdJFEImDJcY
iJkYLpB1aonF5zI0an8e4xSWSW94RJxaaYaKTQIGuTuDlr+wNpqtxZ6HtgG/aFv39RycTFOco7IC
9g7YDl2DpyW1CaF3Ef5dilrcGR2E6We90CV60CrtlJMgxOrToMEwVJsg2btWs82x5AALJAwiQRd9
Vtf6su1YfBvWCjJDTK2spK3tVd9QACcykeqXeRxl2WVKW+vC0KaVzWWRJvW53zW5hMycSuQdRCLq
wRQpmBEwnap2Iqka5Yim5gV4ga64jf0CBV9R1hNeOz1EYN2nXBNDwGDKK+eSGZF/Znh58136plG7
MVNAmwRAl960ygAapqwKIBEhIQKTNMA6JNdtFPf2VULzOHaKvDbppYWk1bodRDdq3sgcUGt4GvhO
2bMEbIdS8Ry1pC0hlwAky7LnBcz+yGp9yE95nalcL1e0+NLYHboLZQlzDTwdEJmxn6jrVKQIDCzO
RbjgiaSN01bfMK8gUedEUc0+2Tgtmllj+9q6tLyY1x8LTwnITvkwo+d5QABN2Dh07UVAdJRdsDKX
5Bq3ZkxPvTYT8Fxta/iXUWnkzSxRHtgMiMYqfRnHQO85pYj8hZI8krOmNc3TrrBg3XeUssCxIOt0
+RiVPqfqr5+C/Kc880ua/iVrP4X+vwzuy0xlP/SQ/98Z6L8tSbA9zv4iiN8rHPgrhpTHw/olA7Ot
N3gS+8mnYDgtvb1egYNL53D/M+xNfvEpUObJgBoxCcEmQRje+pklgIojuGwUzvJYkC0AKgbe+smn
wIkvaEQKfdyhrRHcLwy5hTdkCWC5D/ZGNtyrhCkcEWMQckD7+MHWkrd+ISouqw8h8KpnPBbWZZm2
5zyNC9euys80SSC7pKNVmrG438hMFcZN1UGOs+iBVYXk942QeeroqLvRvnWWqSRbFDEkpFHfAS8Q
IWMZxLXlWLlc+FEtTyH4hBxq7lkOmAdfuqIu0kXCgK697fz8m5Bd5hjQIwYStC3ka3OsrLO6Nfoz
O09b6bkd74KzKo5mHfaMlTbKH75Ie6AkTG/ZoQw2RygSp3Hl159zwfk5Dmh0yUkKsX9wm1eQDp3z
pDMXOeLBrC4Nc8Zqkc4y0hNg1wPIPVIB5gKJ84iVel74yLU11gu7za+4DfRqTTKxqOO+dQxPQ0gh
02ZVNuoKKSVcnRbfysa/6FAzl2Y3wwpfmpZ/3vRaOjqE6oYATCEQ3xwqMlQ1TwFhx/cMyACX2v/h
NRn9Gzj22lsUdiEd2BNBuCoVWomy+igjcstDM61OcyoNfROgtFjBrsZNC0lXhd2p9JZqU0DOoPJY
7RDmWUuCGki32579I/Kq5nRbD7usIDk565P0ugvVFaR8ztJYXhUmPufaWGSqOTMSOst6MDVF6piQ
a7SD/KFJ8cdAi28HMTH/bcbDfqzpfz3D+FcCN6mVQ9vxJPXLdkDJEbSVxja0OIP2wwiqwX/ZDihD
g+IhCmm9gengJ3A03yRQh/SYRHxJxcLZfgR33wKNBIVC0GGHvcV0gI3aMx3/l70z27ET2bb2q5wX
4IiAoLulWV12K/vmBjntdEDQBERDAE9/Bvb2LruqdpVK+m9+aV+UVJadyVo0EXOO8Y0J6kkXGhio
Etid23s0fxYsxBCsTbCU6sZt/YcGTrangouOqttmBvRgN7ObuejnCT3wZeF5txni5WaN69mUqTsO
qJcWa3JU+HcuXdesGiKSWqrDVK0E5M8IHS/B7+ojURUt4IhjwqSXDlV7Lzerfu1FnBIxXzkjbPyu
hxljN2vfmYMyR5/Gi3aCdSG1Ha9dsAAYGhhcRdPaX3LP06kIPThEpWKFt1EECo99vIEFYVWxdJX9
Q9XHWBM2+sCV6jgCRyhjzQrVoA2IaPcBsegJjbazGSUHAZjB2aiGclRX61ZTrwF7h5DO0zEwSyYB
Q/TyyMkl2QCJ6pP0M52wgxAly+1kIJxtREW0NG3et3OTe6saigHghV3FkM5afjFAMogeLHxCfCE5
lUcFbGNxoiFd+sJZLw2IjpnGbwEID7GhHskSuHkC+kMyea43HIROMSTzmdw0odxQEVOQ2MUl8SOV
asbUMdrQErTPd94GmySgTmbQJ6qPUT1vQEpNKrLzNkhFRRNwlVCaYiiFLtoNZikbS1LpxpceOJfF
1DQNZJXzuAfmpMATbVDM6EPvixU2kTCBEBOi+i7YhtEw7fpZCbKGOYKnoh72o8tPqokeaLJ+IhuQ
0y1Nql1d8KlKcuFVDbQeCacNDI91Jw9+2XjCi1IUrt+4T/yOZ01Jevc8UN3fxyUAr1iqdGjEzUrl
51pYcfQm54wb/FMiapFKzvpT1ZAXOU5XEgJC7sQUirj1P0BvfUzRsuyUnkHEqLg8oKd/7/CIpgIf
JWuw04DHMPeBx9RFF7unifPXYU0u1pFgDRXVXljnclwW+MgugCrNSpKKprSpVOpa8xWPz/RQsfJ9
rKL40PtQUbjT3ZerX6FDM8+jHx2bUbNDHIgTVvI2FUvY7WLVH0MWPMrKrU6T7kP44+s9fqe9HKdg
QlMlBHzIUGbfGuhJQgkhyXbxZiA7bliGOSnpsxIcMN9qTKpU35+UZ+ZsdqIorZZ6TFvV6mydlXhh
bskOfVXJMw+DJLX+mM/9Qnax6Z5iD24k0xV6Fg5AxhM1LtDQF2XLQSfVTY2nXXtHVW+8FQ+rXHrm
6K6xexzj6hiRst2H+CzpGPpwQrenNEbdrbheUzH2B6ph9zphzgVAH8416oPWIXjSqM7QX8/pQqso
T5jKNSVQSPA/Dg3OnCWpUNMjmflFIM1J+Mt1QuX9FAHGW1W3r5yySfsOFnzfkOtpNo+1APIHHvLc
UXPbADWIm/lKdeuLKtHGNfB30k7wJ2igJzq7h0WpBx2Hbjqa3k1dIXwQB/Nlo8YicqXYdQvAQU/O
V6X0b5t+aYvZkiLyhpNnTJ8uysCeLt9qRm4gNF9DFz+PPBphcqv3sgzm1DTrS1spH7RVHBcQAd5U
F6E5AGuWam94EBW9mJ1BFFOLuwZGyNI8+YYHh5qGPXjPDSyqBCS8DTX67xbufgOHseX9xRbeDnX/
8SdbOH7qxxaOcTmYheQjy+eB88Ve/dMW/m13x1sDgu+mKXqNH+U/SCDIUz6i/gEmqf1CDcd41wTe
4oS0KAbooTn4Z3bqH0wH1A8ejDMfSjw+J9nQ5Z/3cCYjy7kftzcOGV9ZDbxmNe07WYJjC5Az5eEK
INYUUdCl7hTtVp9dJst4beMOSpLtwObVYwdMxclkZLwdC9ydK/x7W09eEUfCZBNbLl1d5qGDPWyj
LOrYG7KWtJdVMLbZ5IBzaNSnLpzBkBL6pfRqlQ1OxzIWzBdzPH0BKYTHoEEtjUaqCJcpSMnSr4Vr
nBZMRjADlgC6E5nEZHRxw0yLftn1Yjl7C4APj7UXZg78FC34iw87JYcy8kW44QlO25CPM+gMNqkm
7ZifBhXcpz5KzmtCnqdyZSjU6wZ2i2PTNtL4Y8jrbGWDB36VlUBSjz7TuyUSZTpCm0g9Oz+tFbvS
UX8xlMNFhe+ENbqWaed5d7Zu8gn4aNH03lVJvIdyaTVaCdNhJ/ThpaoJdk0DmohS/9D5S52V8fAc
B9LJQndhhmXBNNbsXnt8eIMg+LSs1F7oWN0Mvlb7llio/qN8mxlUn77Zd4MNU2oCYLsWbZXxSy+t
yviqYt6TP2IxMbW9cTApuWgas+ZesLJiTSC4MZk4e0eYO9+pvgRtKfYQHzMCSfFChJ/0/Am6644O
4Se1+GJvpLvH66FZIQfbiaeEVP1964Ju+qjZ+sXO1d3qY8+OvoG5jazi+JMk/LrE/X10de8eZu2J
G0+WyQ3tSnVakjKjCZojG4UHLcGOupVbZxVNlmufr9A6atHZPWybZ9vbPKq76sqfxQekHO/gCpaM
qQxB/Hw3Ev9fqyH/H7YqeOz/8zoHw0H/2TKHH/qxzEHlwGy/baS663ueF/7cqYAN2RoETC6IQDdu
Gfcf1AhmXOC9ZjA8v7cjIVbAHyoHpozBAoU0EQQ+Jgom9B+1KoBMfnWAg82pD8GgbIkLChf712Vu
GmYF56fyb9RMXRQx09EudMwJ933cKeNO+J5Bm7A8R8DvcsXoZ+nHlxp7aB5s4i6f0UhrWV1ooOpp
7/ZgJ12Zxutg8llN17ME0kgTKTIhzPuS9K9VDda9a+8ayvf9ok+e792NA3oZPi4mTQZPQWLwLvsO
3glzokfVJCJrk05Ddi0fV8GfA3hKqCvXOQvn7iZg/g2xYZGM4hS147EJVv+4TiVQzMaLs6ma9+BP
Ci8evkJpuTOWBaceIRAwv+9xvaSJWp9maDNp4wFj9uHfpCHt+twfysydsVBHQ/VkiXlrQClnVVMd
PCP6dFARlq4KRqBGXZnVg3/ddOOpbaifWim/jlNF0tkRqAzb+KbuJDowNt7wYBpOc6ehldbobqJO
NJCDJeBMl5XXKhRujtJ6DdORrl9jb2quJxp9Xmuc3KHsqlsPSmxaKflRQc244qI9BomDYscbln3V
q/hG1XMHZt7iqiGfkkqmWdYAFIM701cpSs9wX0/YUkIJIZvOEbt1mU/268BZOrK6RbPoAx63FrBi
57PCXVp+8P25LZy69va82oiKFXxAOEO/RzkHG6AkOZkXrHRU1TsKUHJHrd8WstPeXgu/K3qfX0KR
uVg1v2l6ctQLW/O6i7+WK0xjHnW0cFTt54tZeEHKaNk3hrWFy6sYJ4IskIDGZK85sHY+S7NPPKjo
HZNAJOA/3WE1jPdmCKoCI9z4wXXLMkfmx0+V7zu3LYYNpN2KbzrOYZjWSArtYuZo4Ik2ThfBhsKB
qwWZuqlPAVqDPfOqh8VTZ2PcvqiceEmFHvCmNAWPpgrhpI4JPQ0JdglGNhJo3U5R7fVvVgX8sYeF
l6oq6Q+LAfbkzUykAEnJTRCje66GFRAuznvqS8ccYos1u7IUzX5k6i9NV0eQlaKymFjnHFzNdyZo
i7Ls0U1AzE+7pJcpTN8uRfNlUofbOJdD12bhxMPblcy3fDZ3oe2aQgGlrbPWa68BAegDfKKvul/f
NZmqnR6IAc/fyqsamn/mz2HeyjE8hosFN+lE0z4ue3rnOeapToR2clcbwIyVNxMCiHX4bPGpotVp
4JrxFuxvNe6denkgjiVgX1mYuVNy6oEXF9YuJE0mA+FRLQA/oWbAgC3qvndODgX07PuPE9qYDJLn
QzfyU8T7s41U5jjRlQreysi7MCKcXtD+f9hQX87UcdIe22QeW2MvDQzfQ5JoDrQZFQlr3EsPR6uG
6mKa6NcR/igSJ+2Va12STkn0tMbAW2q+xqgqui8qAvMCS/wo+HILIPAS3DZ4jGry876LAWPWBB7g
VAX5vIg5nWp0fRL/vFeo1iLlB7tlwSUkY3djHHbfzuWbK8zrQLE8xO4w5VEjL2pLPs1NGEIg8YFT
KMF2xBDIrj6YICqLiSvoJisyTa2arkBSPxsE5PPIoedkjuJUdFF/jIMA/1K7CEk07ZQNWlwY7h5g
pfTZRMsdd8V4Uyd6STns8tSZk1zP8kOVIbjeqc5BM4SvUDq7oBD9fNV7+rOg0bE3wQsclOBYdyTl
cn0H9wG6QcwHfOl2V3kgMjqy5m0YXVccq0wiHPRrNmsSR6STIAdnDA+LHQHs1mBkanuLuN5l6yko
FnX7ruPkEPX+NWHD3qHjnoFqwDXN5pbgz8GnKq7rTNXmq6qjMzApXUxiOeoN0jYbgE+bWzjRDvYC
k7X+clHp9rYD303q6qEFWleF/SHaAHADErytdQYbUKZ9qaK0Ay1egrSp2yx21QzS0cvQinyUBtA2
9jFn2avYUzH0n6bNWNjfubWUxX97wO89ILyX/1wbIXCmv81wVPoPRhDEXPzsTyVSsL1wBiFRQlAG
oUT5t5jr/S98HswE+a0O+q0TJFtFleBdRhHY2y10/KNEwqhtgocB7s13pfefxUXcrdP7GfJDtQWw
MNnqJJRk3/KtP3eCSRetSQ+x6KadaiBQmRyFe2pnQk89qhGe8bB7XDjDAzw7l3EPgo8HHdIbPMyr
3kFeRPOHmemLJp7vJ3e+XEoIn0MVJincUdjc9Qp6SD/ZbrmOOv8Y1CGyW6VIx615mWfA8CbMZnSU
9YrwWYdNCAGWBGHHZN4jX/rVj5nO7Dc/om6WDFaqV8jGGRG8oDvDeYwcA55hBBFelxCaiGrpUmCZ
6HJXDg80hKpFjeMhaMkyf1jdbLE6pWycMtmXz21Ccu2FUGmVyoPavoemSXk5djle+vcZSkydTWH9
EoJUSMHXHv05BraAXQw8zkvI6D6OhjUrrb+rQPinvuoOXjgF+STig5rhoS0Uyw1KkvdFlO+dnm9c
UY0IIujX2k3qrKPNvmnmI/bOfkdmK0HbYt2J2fCFuRSrMulfBhEgS7gt2aXRH2HprdeqWT7VQ1Be
YDkHEBh4XYpdqXD6mNx5KN1yCpwsqzfwQCCKsbe2uSDBOCErhtAulj+pd8Aas5VGNVJukdi1i+9m
LeiyIq4QWWPJirbR69XV4sZz3oAE3sUQZvOydZZMw2RIpWoqVE1A3ha3LoveVfUF4pLtPk6svveC
aX2CKF/lwgUm0qjWvYJkCSnBNs2rkJDPsNeELwhXdndKkvFchV59jImcL8ekRORvacUJGIdEGUAp
vyxtP2wU03xp5Np66dq55fsc104M290Zj73n3jYiIUVV2eHRXXDi9yXY7TeHJ+wrjRGz7DbPzerF
FA1suKWDC6A2Z27aPDolwQfBtNPIK8ww8UaYeQqmHlCuJHNGcy03v6/cnL/InaDLbW5gtPmCFAYh
3ZzCsXNBum7eIUxE4G8sbTZfsd8cxnDzGlfakFxs/mO0OZHimynp1ffRd5cSfqXYnEtUh9NTAoju
GCKvllabw+nE8DoVTM95cz/BWOXz5of+dzH/vpij8fvPi3n+0f7PNW75P2t28YP/Xsn9/8VDj0w/
+Zer/9NKTtG3egCVMBTmuzr372YXbbDrIhSI91Jhjojng8z/10qOgeqAtEB4o2/2sQv8M0sfW8wv
6ziFkoeuGtAB3HxK3d8Z+ro0XLVr75171DZuU19GrMn8aSl+OjP/AkN+HjiAcWW/HAjfBKMpty0L
Yw9Av4OQ/bWnBhfboNRv7DkIQOloYFi0CFZz6mpwKsJjDZjACAWMFjfJYi7HZniMPAlqDPZJZkGX
Fo0kzcUkgyTHMwREfNF16gTDpizKF6uGIeviCl721qNWqr0fcMDMG9qzcGukhaIePM/ojXkMmirz
0V6h/4kvxm7OEnTnWQ9wKU+CEH1d0+/KcNohT6JzA20vV82MIp0+O3F0lVCTpPiaLxVtRYao/z04
7Tunm68dJ7jWNeINrkXNh1TFEZzVtS07hjWEPCIB1aYum6bc2/JVZtK3wLV2CH08J7H88Fj0xrrl
VW6B+8ZECO8t9TmQ5UUIFGkHjfcQJqXcq0riCkn5KEJ2qGPKsraqLqCJvPe2anZT5w5YNqAFtmIe
csdsjRYizzui1zfSddvqzW9ojIV5aQFiDn4+hs2bicijVOxKzJ1JBVnuotHsUU0cwH856ObB0Frq
1/BqgMtWXnDvLEObdXqMsyh5SzSy7v6cmxG7lDK0SXFD5DHSq7h+fI+U+9d4gd7phsGVMxmkx3qI
CSMymCRarj0LkG9B6NNWpN41pD2Dm+M737f7taNXjJUs1YTukwnntrIN4mZhMOXDmLyhBDlAdrkT
/brk/qqe6hDWGQNDlfq6vVfWHEnQTLn03c8uxmikzC5PbV0HIJzXG2+G96UqPgH3kl9I633xbAs2
fiYH0SZHmOMEQUu7h+py2wGInxHWuYz8tc/Ctv+88uGlilSVdaF4QMSR53SMmoM1/h5SQ+b55Q5N
FWgu3GLw46itgJJV46eeCyZ3a+zoJQvCWabEnZt6ShdPgh8EEdjnbmR3JLZbByXnU9sGMIMWkrkl
EubU/2Ld5FgHZDetGDiAzM0wPTWBv/V5lrhrGtQQss1M6rzh3tFHYp5AMtHbOIV4/ISg7h1pnI84
wWUaEb4TuBvR2U+ox5SG+WdzYRtydLoAGoWdLmOJ3KuDCiuoGzRVaqo3XMa+hjxSxcyGK1a7ZaaG
GeHgDZ9UlwOHcK3VwVr9gnQAwvAJzybugjIVV02IR9bvmzNc8IvWcY5rC0mmYlVVrPMC8Wyqv4QW
zD+33AcwR+7AM+9noT8aRHiz2aDPDYcXKws49MeKSoCtzmEJo08zd9/WYGmyqAXMuLRvLb2frILi
YE6DYGnrIELay8zbYbRBlVCN+L1fWJ8eJs/fSVJB3VmHae9HXO9cAs2LTfStpwRwsbB56UgJYXzY
G9LfLMK+SsGhfSz0Cams+GpwwM8/bOURi6ksD8LrSPt3y+ivEMW2imK7oMi4YmxMgHmP0EB/LruV
Uj4tl3A52yWLUrovT/O9uDpynTqf+uehaI7oL9PyAjFTk/O9f/zrZXwTPn+r+v91+ASvZcErt7xt
HN2vh5elCSYnNOt5ij4N5TFxdZrMb47o0n9+HLz3B0qwt+UH3d9lpRKNPasGxnom9SUiZGnbfiTs
CALqb47z6+73/fvgfGIPJEgkwrX/9fuMmOURGFK55zC4kCFcEUx3oM9//V3on12zn7/M7w5iKtdV
HvyS87RTT7D9i+ngfonzjau46nCPpXeygGq68w6P13HeptfTVb17UkVZ3PKTTQ8o7i91jn+Yix3+
K57++vN5vzJ930/CBvNhjBXeo4YU568noUUUB3ltl5whLV+Xt27hXpFndkJ6BVMv8iU9vZL9nF2P
O3sIgqy7QIL9FprbDh5X9u2j/NcxIbgn/nMhiYkC0Em/aNSM36Zd/TZRavu5n+pIsJ3uNvIhTHCl
UGD9WxFA1Ba3MPxf8KSoNXGFf5gmG0+KXC6GReMpQpIRT8CPOhKGskuQcNt+K+ZBIbv7D9DQX5+k
YMuz+niJ1/buAFS0UAZ+vYm0gdaFmJE9G/fE0P4vd0Ltfzopf1JDfi9Gf11+XMRQaQLuCq42vu+v
ByGO9Dlv1HD2LUo2ldJAYZGufK/3z5ULBGcrKebmdhV1GF9vqbcXySKvucWY/CWr3G720BsOmULs
YawAVZdtEfp1sdZkSc3qZ8vSnkuEzFrhIAyXQMQT99rFfrVUpFjH6G6u1QFAJvrmDpmNWpM8oOMJ
8PWNEzfv7dJ8ciCzm2E4Qm58weAikq11dcO0KmKvPUYVkHkyy6/SRIDka5u3I40wqALxCAfbRQpo
/zBOmPNgIv4Ipmf0FcS5/oWF7hGwPBp6MpxgQn+0iMym5UzTYek+ygE8W9wNYNTcGeaAkjvwsZel
jmwe9+jcpfVAPkXu+6z6k0+dLie0f5gIOyE09yjnqk29Wj833aKyarGfVUhPC5X9buTDVV/NNk/G
yIfSUQZZKeQ9XgYogbSB4mKLf9UxbKpa+betxUiHdTIvDvfRsSNFgJdzQpT39FfAKdAba09gIphA
s0EvIisp5lGNddo2Iz+EyMem4PtZNnPTF/XgYQzCFDcggddngnCij8uZCuPcBdbp4Y+3D7ZLMOgn
bl6dUVJ46cMRaRB+3WpLssppTspBuMAlI01JzC6Z/uxzsUugG9Wd9TI6jypL2v65XGFhlWMMqJeR
k4yNzPUU7dco+DzU8IjsIi9MRD/HiC3kMa+/xh2GiTGKROKokwc2hl9pbRG4qT/qMbAZUfxQecDY
CFQfwbrz5Kl3wjmibFRD7Gn6Y1sjxEUnvatjpN2Mj6KBKm0L6rhJFvTmbBLncWIGen+rMSWhkgWh
1T2b9ZiLiJmsL/2ipZBlJxYVq8D1S2J+72F+A5hpSPPJ9Ny4MMzqJfzKefIWkGYbXIQyx58bTBwq
q+aq71qZMV4PGdaVR4bERU+DATSbf8PaKMorgbQVmee3ibe4e+yIiVMW5yOK1tcmLFHyQnWfeP9B
4TTuJuk+Nqx9VDVmIc3OBkszfdVFzlftxK+wizBIqqkyjMFV4L9KZBdglYTCK7S/NMfhW7FkqRzL
w4CzkaDrGh8CZtcUSj3u8qRtHhvkqo/BOvNz6NuHcfQOzjp8dKDZ6mZoMU5s+II00KjTCG6q0TF6
CYsRMbLmz5RqaPVlm6nwqU+Keb9UC7/sNsjEce6k4QkyprwdYQh0SFBOmGPmRLPIkdcUmWqDIF1x
/zJ/QCHqX1GMt8kiCeQBjsyAZ3ObmnWtRPRSxcFH7WJ+AJa1MaUr2XXtALt1uQDZ/8mZzYXVNUaS
mVdmKDyL1b+TPSnAqt4J4h8tce7gnAB/YU9eE76qOIDw414klm3M4Rm5uqtV6d1qGoR6li9mQhix
injeKN0UMASyBhBspCRotzjYyWG6jjCvQ45Nm/rrmld1YFORgEfkmM1XOs7NouVTVydNUXrqQwHE
88b52VEfgcGdOIXRzqdwIrMSA0K6NCktJqVwszhO4U5L9BSxad6Po/QyzjBPLYgHPVw3vv/SCYpZ
XStotqlHhrPlWLfSRtBhSTtY0Xu9CJnFLTyi2O+emlHtQN2+WNs+ITDw6nbSv3VNsJ6x4Y072Y6f
Ro8cK+l/mcv4BknK66RN2OZF1RBFEYusxynOHN7Wu27tkgeK8OIV66r7mrF37oGHsY1pL+S6RBgv
pFEj9+6SUV299h6uoq0e6lrwPPGdk5nUi0Ho6D52/G5Xbn3PgM8Hjwt7D5JsWANAEoW5MsN642DE
4UPI/SVflsQWTIICxFOunstEmZzqqDvgaY7zsdU5DafpMBFt96UH59/vxLK3vVtlU4sZRkw3NR72
OjhYiMsH1UxI3ek7RatsDMmeT3RKhVMCQfUBMofkYQjEiyTzPQtkeIQm8SISuNOUreX1X2+7fywP
XbSC4P1CvAUqwnzKXzfdsDUD1J7RnEWMoWLkhscPIT51APWc/12t/GsVsZWiEMkwMwCWBxAQVOS/
HkspAbTHKnuOy6JsnsZlVzl/U+7+3SG2v/9pDANmDrStNa09D3gwwUKn1fRGh/u/Pmd/ehAE85FK
DFFjbVXXzwdRFcR53lt79uXDKC5nB4Tm37Rif7wsm5742yG2Vu2n76ENEoqEzvZM4/tu3K0dBmfZ
mz76xJe/OdJW//9adf16pO2T/HSktpqCLsTEwPO4rCnpQ8g/J9Nd2amYutPa/QubQrbrz0eR/bHH
JHjjnIfUEgA9TD37XTuiGZ9XqYmF7flCNMYThA+suli6l2+X6L+9xtYs/+deo2j/JxcSYZI/Nhvb
D/5oNgCiIjOGuIaPGSK/sx8JXt3quSBKkVyF/4fr88N+TPA+dQwdwVvXEZWFqI2/+mE/xv+Lh5vC
gUQ8AFk09x+Nr6XfHqDf7sltfC1+D1QQF+8fjOCG/u4mGVk5Bw6ZECah4sluNPkErNyBzJ5GXMkz
hlKAOYcw9xLQQWdJ0I6pjvC0xx0IKeVM/WllIKswg0dCVqPPmFMZ5RIDxrIBo0F2KwWM1G3xcQiw
KG6pEcVYJlM2bpQ8By6P2D0syTmuYEVGjwmKEChY/S5cEZOIgNtjsWMHCQBf1/NzaTEja+LDvRQV
YgxOnRyIyz73wPdn370AaXMt3Aru0Eb4u5KT3RJgwxyA/7e23i9bHkAgGIARp6+l9k46HBRi/ebe
nVi7QwWKItKiDAF+9B7C5jzoLXMgMUJgl4j5IxThB2Yt8RwAjskVogrJ7L/0nuhPg2kFgl/xJwzw
uK22fAM+5uek726aAKyGP0WZU4VCPM2YW1Z4Ltk3BHhnAJYTPMWOCXAHJcZxrkH3EbakmDfuU7TD
noIEjaS9s2HDDvAs47SbAmT4LcoQXjthYZz5Jqqsn9agS2tQptOGm4I6FgCIYpH2G4zKQaW2kz36
oX5DaB2p3Q1cNTCB1w1ljd3lKW6B+5xnBeNt0PMKWgTyW3JZOcPX1VQBkPeJF4obTHmYUW/QtZ33
XV136Vjz5DiMS3XrN94jyAlkDzCK4uDFVbqyxn9d3SgdUPUk5sGELbvG8LzhtKI4QQTZaQ7YgQvL
3TuC4akQNGMEjzBFN23c+mmbrgsIyMSp72Cip88wqQSDRuY8EJiw4jjizHhZpqHCKLjQfcC4EiSg
OBI7BiZMG56o6XGKYUaXfH4egvpL5HeXpcMROiDjCJROd2nkmE+0U5ihSv1Xx2vfIOWDdWbRfkmo
gJfOD57L7tGVq3w2687x/B6ZoXi39E0+8wipoeYyLCOMucHAKYzXue/W/qvbirjAZJEwDYMFPE2D
SQyTwz+T0HkJPHA91XzXVvpymZwHjGx+05DmYEgk6Wici3GW165fPs49v1hsh6tVek+sw/C9SpYP
GK9yoTnO0OAxuvMHaORNnFz3Hn0tI/uIjXRNW9ZyhEgg32OcxruiyZ2V/JoNcueVW94qmm4soXf+
gu/SlfWtVOSIPG1G4/jEkHQyob0YnOCdLfpps0ZYH4AVDG6qej34sksHF9GURi0vgYnjPWdOlzY1
ABgsc+C6RwdEwAY0lRgRkk21fJGqO/nJdNX43rFy1yfTA76bkMHPRt8eBxlsg382DNFp78DqvWOS
DMCeppWo0eL9ljkvQN/ERamFKsBJdDs0PoeVYrozHzqOQQ5DNitkYTw0VtuKi1WKiKKh01kYF7Nv
kX7dmWm5ZS5SQATTC12cAqxJt/4SXnGTfA5CjJQcovDRC+mVT0ee+QZs2bQM8NC3JU5WK1ox995L
+l0bVZivPKguVQBDExK0hw5DiUmrMWS602EW4n4zK7snLn2POvBDzIuv0FKWe8YcZwev8I5EwDtH
1hCMYIjePcz3KEjfgkEPh2LxMYmjqz2K/mLZNeCXpF7Lez6uPKsleejrqQe3H9Wfh8q5DjFLoEB8
FKB7/Wyr6UYm1aEL/o+981iO5Mi27a/cHwhaCPcQ08xInUhooIBJWEFUaK3j6+9y8BWbTXbTjIM3
uGYctVkXoTIj3Y/Ye233x8K4fdPB3UYYqCPUrCsYYq3UQH22S/6co4ANrxYznFedPZQbZmMn6TYP
njK3NMrmAoXptVxij/nCYGE2Xr4FAzYXZ2jf7E6r10vf3Ig4u0T4Zyx8NBN+GkMZa6yiOWaLuUlD
kdFCylt8NFc048g4lC0nwZ/j4tPRmUStGmXdkWOgszXoHyxcPXGABgaXT6LsPim+DH6b5ZunnED1
/JTL8bYakxueB14EPEM53qFFIpvolMR00ItdrwxGk9fdFziODLs9QgU6CX16LEy0LULe2DiUKk8U
SD34VCvzkpPZrICUocmzUQ3EyuRU6GZHY2v7Y1ztC3xQjTJEOTijwsTGMqDMUlLZpvBOYaCqksOi
LFVaCsHjy2Sl7FbIkM0D4sHY9zLMWKWyZaV6A+VVWbXCiZWkMm/9U5V9SQlUMNd/r8p+TS7+c0n2
Fef1/bfYAJ0SSto2exegv9TNv81/mfK6CNUxDgn5q+zrXyWZZdhABnREYYIlB1/1r5LMMbDxfK2U
UN6gp/8b81/LUyXXv5VkbKBVqIlD+omq3v+w4B9mLLydcMbrbhpSeuv0uRxYI6vPOL36dW7UyXup
Pv/xbD1Y8MTWg6UF964z/tAifYtuTawWdX6A1dro6kTJHeTOcRO8Neq0mTLEo0Nf3AkvC3e6Vwa7
cQiuXHVK4QR+66343h6W50idY6Y60cxKrKcSLlnqVEdLnXq5Ov8sDkKkQPf8LH/skPw2Yw+mRZ2a
idsn62Cxr7rUexTqZC3S8CNp3Ss2ere6mK4jVrSlQ202cCibrHa2giKJTni4mUxGLa46wx11mucZ
M5pQnUX12qr75EAQAx+eytgb6h7w1I2QqruhnytrY6XBzlb3Bspwbx9U4gGWE6e45/fYmPqqxSqo
bps4h81sQE0CmoPvhitJeh95GWCM5JThtnKG7luvA1uoEsSdrOyHVT8HGQzePlrJaf4cAOwMhrN1
LMphT4+eQgN3ludq68ylShbckiG3ZWI612PsXBx1i5bNU8mt2vfziUSGnZYuvtrt19y+4JxuTXUd
h9K+c3mFghgZt1Y2gLSyS8MNbnOTp9MC0Bx1CARernmP+z7n3k+4/01VCHRDIbZVbwCAoUowmDFA
s2fNvuhPwH2zFRij00JlUVFhVFQaoSo5WmoPyszXiVqksvrzRG3SwajRqVV6apbMS+RKqjKmqUJn
tajSxoTfjCn3XldFTy28K96m80g1VCs3svhhVJJRGH/OSMlEsEPrmyK+Lymm7ISiVKe8WhJoE01R
vlqF/WKpCqyYp++iH3m+VHXGODwFh1+ejSH7CHgivcZi2kuUhkFp19vzvrS7j0Fj/mdG1oOkCAzj
mBI6qG8MHZmhkQ6Tj9uFy0zDCK+pOnK2KFB0L31KOl6kpdBgNESArEVu3tENbLwq389fpWmrqtQg
HMOL2VO2ty/YP4h3sF5y9DKlKnAjOEyrpROPsPaj23lsvEOQMt4rnXbaiSFAp9GPAsGikWxmVULD
7/whk7HzzqMBa+k2iIJk3oB4q5fHQZYID+QwuS1TrCAV98ymWWBoofUUi0TdzrQpnmSQywh4YsTs
w/iBmZwkUMS8HagxTLfUX343NtkxRiO+yYfAYJphvZSDTDasJ6tVFvFIFyNe/2gCmokPaA2q34fC
ON271WSvyii6nqLlw2RkENeh68dxvdVxEPRpzu5mMtAaYvLyFWGP6fZlEmLVVbjzdPc5lgVCTAnp
2AXn2HWH2OV6x0KYTeVNFvfbasAZsWgt3Ki2gtffHUVUhJcsncDF2ve8usYO+8OlTZqbqe4fvdSj
9yOFJAzGN5YpTxh8v+W6w5olqNdJhlOhrpdla4/xk4zY4pRLDhjJgqNFobKCVkttHGVnfVx2/L/o
wuMED3knXyoNv4NZa5vGSsFM1Y9V4jxVdXyVNeKtaaFP6rlzbXfe0e6pS0UdkSFRY7KfO1yXCEje
KCnuXLM48+bVKy9ZRuoj5zEfBsycmdWt5ehGm9qF9rpoAkEUkKEkZe3Q8WGa+egRhXJpIzzZKJlw
fnR3Sc8pYBpHNuwnpKbnVLJXYEnZrTLV9gZD7hFjQTfQOy4aGWTzzPa6Ty1aUJN6dbLteo/WC2xg
EXgahuR+3psFZKow+K7N+TlKl0dttkx2EfO7NtTJ/YwCeN2M475qKYXy2Ut9J6zfMVuhCGv0al3m
xSOrlVNUVe/xAhA9NPX8YSqavVaY6Mp6JtoV70bmBNu5JzHEDVyOjfHg5FXgB3bPEoLboerePXOE
PJNnPGtt3o9ylemh1hwb3QBXo2dhsRG2127bAIzaq5m33f8nptL/QRchBcR/r4i2eDCK/zSk4qt+
G1Lhbibz2kUNCRlJF8yvfquI9F88YLvMoX7utn8bUjm/sOsGw2t8iSe/5lc/KyIJRwnChiMdALbI
Qv6WjdBx2Mj/e0XkUbR4rN8dQ6KrsP4wOU9zTFZTFzgXkPLHsKuH4qobzdleJ/lQVXAI456P99i2
UCXzcHoqPYUAKr0Cl06XRC+T1d4DUpz9qC3S9dj1O9TFPioodGF6YbIZyjj3vOSN/V1M6yLjzayx
XStgnGGk7FCpaS9Q++6wDT6PfWmktx2+vXssXXtvnHAuB7hH6G1CPdYuaVC446oeaixqWvgyV110
EwRRbN9E2ezcyMJF6iaIHbBWNolMpS+DXC8ebGie24DObdy0HLIdaNg2ip96RhMUfun4nJpehEky
LfdxlCR8tPXmCuzjcezlnQzFjO+leNKX7KEXOH/KqHo3VcSTHfUI3zn0my7hDrHeIoW/azRxsXvz
2Z6mp55t1tpiRKYNmq/lnAShSjYSVWX47syR1xaOUHvTZ4J0XFR66asZyvvUHa+TBCD1rMUfpuc8
5L341EUSb9qcF0W63a1jpUwDSBbacxDj6wmr9HW24PWlY7zXFxRytRI65pn7UGeGuS2LtECvzXJ3
Ssx9hPG7GIbGz8eYrTX7GpmzugZ8uMDxSIuNmdRQOvWZmtS8DdRhBLADwbcw92WKzM9003HtzZN5
mAcDiWavf+il57t9m4MtlQGpQe0uL7zvYVSeCJs8tRZhErGLA8xavHsnwAgFUHs7BdoHx/c206cD
7vJL2HB34AH1q2ax93mh5OtB9aMr0cXZ8Ziuei1/HyNvQkVffOOR7qD+D87eVsNQHq9bwe3PHVle
OploTNKCGzistzKE2hFGxl1QaSiGmDGs9KmRa1yd7ZrnzY9YVfVs4VZl2B073sGu7bfgquLdJMVC
Z12Xm6UQh3yYr6daPhttd/G6+CHpYEDHevuUh9GdwjL6ld7vjNDWDrSxFnDE5m52ggdMbLdLzUp0
NLAagNKinI3j2Tea4KYPlv2cBRoWDO29qbXI10WV7mZJ274YXgZWC7tFKFssGbpAFjEvx7JyrhNA
otvSZZ1f9YW1zoeso1wczwRvfYD9Osa9C06gja/spMKpoTsnQFkGbQlkwZlEE4MPgC+M5DvX0bid
ve7aa8S3gU5nzUedhmHOWaT01o987he43OVdv1TrrndI8gDk5TgK2FuU2ALT4dEcl2KvCZ7OQA25
2iz+zGZzYVzgfJOjvDdRkB6Gkg1i1pgHBueWb7nuORowwdoCia6eC7Ed6+Q6Dm2Wy+ldng2XMOLZ
HiMHhlKSbuLcuzHDot7aGRPWkeqLkniaV3VhP1D1DWu90X8EpnjVrexdt+ShHi0mH2HHhFUzP0Wr
PbWJ463zPH/Kx87cmB6EtrkzdrGdv5SzOEmtnOXApDEC0eaIyb61ErdyoA+zi52j+s0akWCYEje+
QhT1sr6ytanbLCnz5mF5ayzzpXY9a+/pBGZUnnOz9EPhu11EAleDiZUovmIFEO4dykl70J3uPio6
VCeVnlEbl0h8nDThrLVeK1vcdzmU1BE24hbO9+g3PQLepKoKoDf6ZYA9sEFT+zkstGCFZNaWmIM/
BKWzT9OC1bgm0FzAL17lOjNsvKqUJnySjRYUgx6M8hJPMgYUXE8Izs3It8z6biwY6cwuUXAGhM40
LibepxiuDwvkWCZskZOoQjMxHuY8eM2LiZwcTeQb06GlAuydrasmebedgrl0kCwbWQTbUFjz3i6a
+lBWYpuSG+dHjp1tXZdROOfhsiuS+rVBDVAgWAjHYFcyxLyNNBjIlO4eLJlRXyHg9raTVpDVAqPr
1i7MauvUxgHA7hk3E2F3eeLu2BzAnsI3vw6GeT5Gff+RglzaRuh2jmZFSy8rUsXSKSz2UVEsj8uY
896Ms7aVxPqtNMadqxCO7Up2wwEwK9pnwyUcRcIGzbxj4C0nLV5yyLRMfIN0uQWo6WNsZxnv2Oel
pbuKekL0mIjeVH30UJjIvtn/Z9vKYjLVR1oD0757t2u8Zrkt3N3kYh+YDcxgoIamlZFFN12M2yFY
dD9lHLGrquVEyNEZWJVPSXwzYFDaWEmtk/fDAiJ2mosnk3eX3MOsDVjROB6De5IjIH1JyEDuvMGy
gx4IgchK18cno0+/l6l2kzXxfQqZaq2jcd0kjWGvGlF9ZmTIhLkutp0lSECKBd8Sl7Q/ZvpLBVCa
EUd8CbyeTD5DH/yxboJ1GaSnwiVRKZmS8KmOMgBTwYvNeHll8tGFV/0DW/mLtDSawu5SfWnRu/w9
kKa3AZWcrrw8e2JjTAMYMxAwNe120SvdR3BwRccbAA5ITxlmtrXgTpUU2WtsiZ/0dLhIg7MbzPlO
j+cjjm3Pr1NtlcjiOZ+by1SYJB3OeQ4JS6x5Q4/MBE4yyz+0yv0xTgzUbXZK4Nf3QZt8Yr3Ytn3Z
7VrQzm3Fv46l9qQnOtz3U57Q8PbOoWrT716fvMGDXdN46fhvnQNgAPXUuCEKnua4tCNNXMrbk9PG
JyzDpoXnOUZZsTVN8WlBlVlhQrmPk5D/mAN8yHG8NpmxEgA/CH904x2V2ysV2CGeQFBS6eAYsI+L
LPN1X8XXdu2uAm98Niy+eTWV+AuTU0pDs7Py7l0QZhk6AbFBxMXpTk5kXvFkWFx4XhHuZGRg4XOt
C7r+R/oUBvQtQBKtqm+q2DtDosTDYtd3vUYekpNIRIIi3+EuZlJvJogsGCUwb3VpPPJwCxKBbdiC
vcJqWNIMNX+aWxCCRd25crMY/x7NUSGag2NFx3FOfkSGjLfh6F7PRrIrl11Lg2S6u2YufGM6u1r6
EGUDhhsBZB8T0i5JBpBwDoWMtbxZ7khfGr65dnwWZk+GUaBHvFn1d6hlivw8wiiu9KE58fF5COcJ
DVXnPhmVQ8IgMsS22bh7K8z2JhyGoUv9wLWq28JucthhRWyT8SekoT1HQ1nqa2BxbXPEcTHmbALH
wR22ZTZo8+3Mu1PoMtZ8EaDdDxdnjMGLp8cScNtqShE+MYXfLV7IAK/UtpqTEEWWauM2FqUv8rT3
g6H8htN52RTuUDNLCw0gygmBEsX9KOxp21o44ZPmWcQMdHIKLy2Iuy0d7yFyxHfwoTdTDCI+chhn
RHGXExrDJyRNBU7McTBWGqsirhOEXqnOxdZypfH+qfeO2rz3ZuyQ0bluQPpklfCnzrkMXXzt9c5Z
uWpXRZt8N7zZbz1xhn5KdVNWb9wt0DeybJ0WLlq6WBy7Xv9coNEzd9IJDR3cvRj6G2JVYaGqxAda
iRV1zejbQfHRjPneAvaJPKdctnVrn0VNJEM6bIoO0aLMy3HPuXv2RkwqM2IlwqLaPTIy6GgmPxD6
3joVWbtqDUwzLQpCGBi7yqTa9Yz0Na3jtYiu0wq3q5xXQKcPsoH44LnDRcP2yNK2u85l8gFHBMG6
QY7sHF/KUL9IAEBZMVyEyXAiJzSi9ptGC49MI5/B/B+6KH7pnO6x8kpMGou+AbY82c49npQ1de9l
rs3XmNmp12qcjHl4QMq1HJI+e+UXfIzUssOhFtxEzHROnAqvIi+H53wZwlVZJ6cJELnfDoQnzPmC
dGUmx9M2vlWDjmskvR3H4ntaueDs2k7NE14yWYJcjp5zsj7+WXEojjH29b9cceyyz6L484ZDfdHP
ft40fnElVvJfScVfnflv/bwJ4wwgMgGFUpqoUn4vOqGgJXPop+rkX05Jy8MpSRI7Cwl0Ul9Jy39j
w2HYSn32bxsOIaltbL6ny7YFBw7//jshFIR0Bvu9612beQNPQhpLhddcxd5ZWhGZGxlB4H5li9vc
4lUnJC8fkEsuBOfZiXduCi/lukjfUlavM8XCYHbhdhaCXVtlZZOKCFwOxWTVm37wbmlTfyiGNzpT
WJO9idbUxNgW06vUOx1shAs+Yqq0vRZnb7KBV+Ik5TlMxttUESfsrvHp9/aODuKKdhewyriGWkI4
ArgKHKEXkwooNlHxjYpo0evzflaMi0Iz3hKgFxMoyEPjOt8YyB6WZnznPLwitDBjPs7f9uIxL+8U
RQMZxGczu36q+BqJIm0Q1VZfL6yLMWQVJMMY+xosx6D4HKMidaSW1iDDhN6hW+x6engAflsuz0wM
rshGUkpcyB+NYoCYjAQiAWHH6sNtozghBor+TQI6xAUhgmoHzb+iikByfsnBjGDtp+ovryHUMwvM
A7nNFZMEBtOBbQYLj5itiIG3zddHJalUNJNKmeTpffM18CnMa/NtLlPmmwQLEy33MeeDu9IVH4W0
FeQm+MGscP5O7CUgTsP40Zna0QCugkX8nCjaSqC4K8MXgUWxWEpFZZkVn2UC1LIAbMm1YvzG+3nq
5OuSA6EHYkdWLYq35Ahe835U5JeG9MzWxwJWR2fNLHqusTgN0chnWRmRKMuKqr5MoXQOWesKTvwh
2sWuiyGQRE3vyiSJ7+ik5bCDeloeeF0qfSN0IKlR4Hr3AcwTb53NxoQopGQcMMhZ7KpGiszP+inc
GbNSlTtFY56dLOuf3dJ20VuT6fjPxvfrOFS5Uf99vok+rPts/nweqq/63XnIYWiY+LIw93xh3X87
D41f0OQyxBO/4UF+v/HFa41sj/Q8RDP/vvElkwtjue1Q4SpQ5N84D4ns/uN5iDcdOyJJX8gBMeb8
QeU6mNByas2br6UagetaVmxaocNGTC2coIizkkkyUJRMhWRQVFejEqzlciddclzbZgFuHunyPBXo
5YeERqJnMICFHL34bLVb0+g8NCLEZDKJq25N0VS0+J12yudQ7tqk/OaxCV1rUn8vagFSJFpu8xh0
GFT0zNeqAc176FwvLudOURJ9EVYE/8UlngL8IApmGFL/5OYt5xGVas6uiPNiQ6qW3CP+ZxRoMUYw
0r5wCVYqJDiz9A4p4ueY1vflEJ+rXIE32DYekkmbjqEq25bOq6713n7FyHnn1XyXwEivBMxkNoBo
76Yi84PRu9IFL41lZivYi7d6ujzlffXoJfUpjtpXXbN2yIP4ZReMKijLzkLO9ImjvFoq92PBDIFV
iYgT1xxO0CTLNQncNbG8VFYRha1nBu9pZOHYdcstmZsbR6uvaOm/JSpz2lEG+TjKm80o57clJilH
AX5Gt7ojuI0I8cSq3Zv2iwSkKSgQAG1W2fqI+hFvBKwNwI3lziSjlpTPHSm5p97wtgYZtovrxhvp
DKdikuyAGihNbTuzRe/bai3yhDtOBeJ6IamvoymeUR9e9So0FyPmZpiI0W3nz8CxN6aJatMkZ5fA
tR+9E5YQo4jg7VQYr6FieV3yeYNmZtdus9Gskuo2IsPXVWG+ROeE60gF/KLEl5iF2Xeb3VNCBnCv
woBtmxkaqsGtCtdQccGRhfLGsG8nctBYnnqrLicnRkUMDyps2FWxw25Ll8z521FmEkrsZEW8KVVQ
cakii2OVXUyGcfoVZtzap2B0ydlQQccdice6ij7uyEB2JsKQ20mL/ZaAkj2qMIEEIU1JhBIxnqYe
FjBVBcqeUGAJCJnlQnta4A3uTRKYu4CGAxg/WqCJEKS4ZtQK1AEX9XiLWOGlcKxgVUy5u5FU/rlt
7kmaIA049K6nAlJNpply7UTGQQ9xz9mV0dHI0Pgm2XRdTtqhKbtmNY/pO+nGREohZ5vHm0T0k2+E
+SeH1IVkGlr90b0Mo9Q3xBI0q6AtBiiv7Y1VWR+JwHLVVtHeyua3MfEu9Hf3pLIydpMLm+gOVrgm
w60rk2RbhU0PehibS1nfmiHXDe6+z2Rh7k6LvFv60UHIoWHRJ1R+5YVqDx+OfKhjuHtV+lyM5bPR
KEHtIJizJq+FDRoVggQSJ1LXoX5aVww9npJGOxnhcHS9HHPrJDd2xIYcPA7hdiBnUbVQt2gvXT3v
VA1VNuwqYa2hPgudbx3xa6s0tLz9UDkeS0Av348GD15N33ZtpqWr+TUpUR//XIu/Xovogv7iWvxe
dN//Z519b77/h7uRL/3d3WjqxJBgQmdhp8RL/9r9mb+wvqNXsL7S1JUV9efdSBqKK2yLnaFwDDRP
bAx/7v7sXxgdWyZdhG7hQAE8+jfuRpRVf7wbXfLcPSAmhKLx0/7ohyUg0MiyRoKpBZ+wQpSAxnSc
5800FbmiHxqHMUi3oNsOkDCwOnpF9JJ7jmoZtoSo7cqsvDh9fUikRikdbHTB+CRLnPKcxU5J/Erz
NOviGyGULK/beV6Bk9gMc/pgN8F1oiP3Q7qLXLhMnNsptEATN/Aq9E0GdJwzXI46MAr9skTx4HsL
0CNy/Rg6SKSJhd4BgTK8zZJw4xohixQXzm/AlsfTZblHY5v7WiAuE8Kl1Uz8CHVzK/1I0ZKHQX/E
5OQ7CERGswOsDmYCGjFIY9nId5u/kyaI7wutKUfZivpcn8aY1KLknUw3dzMHcET7HFI/NPUDa6Hg
kFUJ6ETQ/yWdwo7RXnaSUhvP5LVxEg45meRN8hjXmOmxSxrrJkyuSwQbTNQRXC2MWu3+gSQ9e43T
9NF2wuuqNjhHrPFMcme9teqgXwWEv/qFhiloFHq99hpe07Tur4CwktsOO39LVIQqkI+yMJ/yZLjz
EpQyJNjhDRyNvWPVCSiO+GMwrKuwWC6LCWsF3yiFRtJ8yzptHXDcIDeuzn2EWLxCsrcOU4y/y9St
wfqnK4j61qpCNOxnpg3Uwb5NA25PC0cU8Q7hpsbXth218r02kZKZensxLUyjtbYr9fyc5/G1kfUn
y1oaCGHtqR54ZoK+valjVJ9uykuDa6/fCG7ftmCSmrBRrq0rcFTptqM3XNdMSPapUfhppZG0rd2k
U9leLWQI8O7FwGNd+860zSuvynAVzsPEpS44pFOo2BaCW0gzOJ2TFOF8RgxeG7YPkzdFW1yiV6EI
Xud6YAykubuwtWxfdvqTqOtX6g3HNzKapLojQjAOb+GYnI0p90kDvXDOfjT2WPn50PIatvYhrGMY
/rY8d317HX9FDJVfcUPkQqZ7h32el1ZPacAabliGEzsQcVX0aXVMiKMpU/2uk82HW0FvI66mIrYm
LGy/IsbGI86mIdamJN4mLsvjlBASXGY3REGmft1G/S5TmTg24TiLrZG+kYyW2MVf4TmiGJZ7016u
wrppUXrF4zaM5UTcgc3PpbXKmt3oLO1mdqL9uFg3jXxpNSMkO9B7LBDGZUl4aky2GHknDyOynbBa
bvrF3AdDPKLw7W+Jd+Lu7XzTxF2gxcgAgjq4sdru7ErIFanbnco+viOBZR3M4f2CWG5lNz0dNPKh
ldlA5BV03TsvNMCdzJglrdTeZWEc7mtiS1amGbmb8osK1PPkFBWuhMJAzI2n8sadtG+OKH6Ujf5B
hgUKzzJ7WorwjLUYTEvNhFOqNHm9CQgcTao3t9eYM6bRVTyhppp1/SYvmfH2rJWuAeF+Wgv+cH0Z
P/tWicbt6c4a5+pgFcOrUeZbKvpvc+xQ6JGR2eK6xLxPNKVoxW7qw+diwsmSjsW2cucdazlfr5ob
L85Ouk1h11bMOuvgkjhd7BOzsYfx7h0dTT66fQAniFGo5YkHQ5fmju106y+1QXjKlEybWjOvCKMo
b5zSuyMiaT9lAuVZNuC4gB9nVoifKSzMlXQ6n781Rj7VirUX19+jmkFxNyNAszNi49ySqKn3uHLu
2s66S3lNuAfY7ocFPv/MvQEEvNXZw3GEKYdzoOStyxiv0Vfvorp2mNRkrOc67SPm27kuIiwpw2Mm
Q5Cj+PntPh5OQjOKDW/ovJfmdKe6CyNn5c5K3vB7FwbsxPq3d5vwMFE7Bhr6N+sU0T2qRf2r3i7x
geMYsQP9SCimrRbV92aMFnWZMYdHdr+ZYiXYDNt3IrLZYbTWrpEoGYa6vgqZF/PUVPe9nM50fjRj
Vk1aFGd9Wl3GssoOlTFCP5ju9LncYJuYt9J2TmUNWgEq7kO0zP127M3P1OsnAmKcW5QSKP4yWAz/
1FNf9ZTFFPKv6qn3hti5ovsPUir1lb8rp3QMvo7umA5CpT+Iy10MfWiifv0XvupnOUV4lIWXD/QH
/8M6DW3Wz3LK/UU3KHtgyrhIxSnG/k45ZYo/jV4dx3XUbyd1wczhj4waAAkF2sZpvJ4yts+ij6ut
NUTJRrECcmfqtq2WsodATzK8jEl+qhS+0qZEQwEJSZfjsPXRNxl3oeJduhKp7lw4qi4hc7ZbvkuF
xySo+HO0a9rlhOTTKgvurV6zr4ohi9i7YESvGERcKB43SRg9dSieRhZaW6qWI5/lo2iMH+k0P40R
KmyRXtdZ4wM42nvonhBaEpYMO7zyk4xDf5mtzJ900a6JGY1WDJs/E0c8jrb2mg7a5zhEte+wdV1P
I41/UeYfNVMPJqsaHK+hR9pCXz5y/gFvtt/mSKQKXWeQgTmgGu859fq5fIry8ta0ww0B0+nKmYGM
1H03YFPf9SHUroNdWXfsiK6YVn8uCIDn4sY2CJK0mvRSqLDPKXnOWTcGzBOiQj4MkmZRT37Moaj8
ODNvyeam8uxZ1wxh+0jNZSIR7SrOlijbTl02Uebhy2xs9pYoRfzOGcW+ZTC0tjKYFkTTIcsuxbLO
OWTWbZB4G61TbHwyi1JIYityw3c9Wu47CZ3Nn4iPRjmDcNqIAcDJUrOuYBvEBFwznEhRDRwXrYE8
M2UroZX6rp/aA4LzGP5bB4Rd5dv0X1E3xZeFyFRuoqRVxqLsy2SUDct6suxxNUwx8VtYkVosSRPW
pKhT1L0vfWf3pfVsVM+XZyXMQs/IPHJzjGBL221cO3qMxXQhXyQ0Zy4oMcJ5Wsz40R3dpwY7KBs6
7zUFSc/Mlk3zSLQw46qe1fXsPngFbkeGZBWwrV2GtGHPjPlR68HJ9yhNNlOwFLuBuN27XKhhTmsW
163ayuu8lhYT9IlExAeeANB7winXaM2mG2KRAdD0YwWtZHhrESScnNQcsHtFn5URTeyfZ30Te8ZF
c8ugW+mcxrnGXtrxun7f9EGzNxs7u6/tOrseSqd4SM258ytMk1C2q4fS7fyus9Gw90uHDE/uJxsR
fI9lET1GX666cr5GPx5wQTTsTCGubmRskkViGxgS48A+djOruKBa1xHZSbMASgKigekKyNJQeDM9
k9AOmuaNr2kyjuzD68CP3a7YTVWZvqeWbPdZP8L3rd1jOkaAuhe8FU1Hc+M3S4VmQ3rN7WgZwTkK
LffKHWaSBQDSegpN6yhILbLMhqRhwLWdQthqLjDb1kj1VaoAt//cR1/3kfGX/f0hrz6b+Hv25+Ze
fd3P28iAZ6X4dhgQv5Z93AY/B9+G/Yuh4ztnB8enhOn4v24j6xdhWQ5DAQJC/t9I4OdtZP7Cc4QO
l5DUX5NV/85thFD4D809t5qQJoMCaaopO3Ej/7YIdKK6KSatnq8mC7HplkcELmil5qo/9GUpJKQf
QudKeiKEgQt2j1Sd1MGUANCwRXoXmKzrXfyNfLYHZyY2wnxnIteuSy/4DuX0nmYwv5lTSJf1Yptb
Jm8huCW9vSpt+0dUIaNPc+DNRkG0BCosa+O0cbPp7JHE6NyQ54WV+UErsg7aFHK1eT3ZiHeTJMQ9
oxsoJ1GhIKFMT3gGC7+txnnbSK9adXWKfxqC6BpgKc0DAuaLGOZjKuOzW3bBKY+zdJtqHst99pwk
bZs24RjkOm4nz4l8S805ahBDawPPlV9P9Bi12wO0FNpLxtlY2VNxdKL+wbAjHdYOUg0kIRW34Kxd
msR+HwvuoRqH1Y753I8lSV7RfeDcEoORMzJxgnMlkvkRuVOAPjGiBLVYbkXJZxcu5gvUJaSgiJO3
g51xg7YZfTKLLHIbvcI7Ydw1Nvaoa0dRTfpZxkW3i4GZkl/U2+eG8tPNwuQeEBcN2PygVWS6laIQ
O90tbx0b3RoA1mLt6gKKeQlEbEmR4Ah9ZF06p9rZiJg/OjMLhJehIjY70K301AWz0e0IrpgZcC5N
YzfXEe/dQKZKfDUTFI/CNzRUs5rwnWhxPK27rlyvRnjMEk8eqm42HzSzz+ID0SfLsRkK7zrG4Ftj
G3HRxlCcW8G1h0wGmUrq/RgMLz2bKIaZ2i73kMSNyf/n9Pp1OslH+S+q6fh/2TuT5ciNrOm+yv8C
kGEMANucZ85TbWBkFYl5HgLA0/8nWF+pKbXUZtqrV92lZilJZiJu+HU//t78pTDJV/16dpmfWD1A
ip5HHp6YwX+eXfgbUB5xL1jELlEavwiT/m+uy/iNZElzl+WoJ8qvZxcmBt/AcUAqwWLThpL4D4TJ
v5ikbQZ5pnkeYSQ/fUsJl19MDDjN84iaRf3K8ggNBPms/GbfyvCH7gNxQNFqRHGKPXLIsfTNk6z4
84YsoAB62tfVRnjhbdb339p2XuqTNm7huT8XjbOtuehCQThXPmpR677gryC2pfy7Lh8Ch45Nrot4
D8OeFF9xjzWgXvS+ni3rGr2QxfRLkMQr4ZhHh74bknSvM5VcRjI/mzaR7XzsDpHDXRd0wTKd413b
g+FLivkZ5MEO8jHOpLS7Ht3oJSH9wwfjxDrtmXOGiL9jfmiyeIIK/5gaOZSJHjiWr21md74GfuUu
+M62tLT3Swlv3YuJmVkB7Dk3kPA7kFa0ibAlDwK3RiFq8QNMufdYSxok+XTij+hTXNSBfUzgJywT
qe1IdoGdI7y66ynUKO1xb1KZIitxK6v+dury5iFzptesQjIQjCxhpD+xG2Vpiv+w0sdzmFbOQoau
tnaSYtfBYAB92x9tu90L+jlBKziHyfhB8+a3MOgfJiRd2iw5MWaPEUknjJch7WUuZkgXNcR3jAdB
wnAhdXugPyTYdC1mAkK7gpXItEvaaesBeKrYa/YtP7MwzNhNTQTGG+pBu6G5dGNnROuAFcmWpRZ1
e10ZT4vZrvRuX3pIxJ2Lm83AlUqFbak3Lu4NOxjWMGs7/zUbaomk6ZjdSqT6mONnplRrmZsli7LM
RrJA82BkJZHZ1wSAS+t7ETU1qDrbXIEsjHga4quzpL6Sc/tdBAA9fNp7cBThigsQDwtQRK6KZYVO
euvOFVlVy71oEX1XNF7yd2CfK7XoORvtl8IbJezu4a7qgdL5WhWv7Nr5gZP0w5zG97nD4DO42WNI
2R1CsXWG3Y8e3JrHptBi/Cedtbadgcwvy0vLT3d21Lx4qdNtLIzhayfwXojPY46xBV4cV/5oPZOh
NcPCP+UdjvK4xZVPxcA5C7VL+JINqyIMD8WY/LBHKiVy3i8otLDNjqIotklZ3QxWEq0jEoeV2rGJ
MtxmEZWCAKbJ74ingL4jjKfBwjPkE2bkG+CWS1wn7Um2L4XjtOQvtRKqnTvHK/6qcaG76UrDK8hC
NINJErWkB0gm9JLfeBLhTqUFap/CFp9FcZkbGrqK6kP4drPMOFP0TT2lzfd/z5WfU/H/VGn23L/+
YiL+os8Yzm/CBsgE68j7U9TNQIXxIQPwvP6/7rvf9RnWXQJR2BUcOUqF+XKqOL+5GEB+VYUrL9s/
OFWwlfxpIha6z1HCa8AlwvllsVj7eqpYUVaxYXW7S56KaFOWWbwayxxE5s1kosGzi/UjcvVrOxr0
CI7EkMq1Y3SmAVeCS7Jc2lPMWqf24nq6gufj4MjlvsrKaGGMoqZsyckiawvEn1DdwrazuCXCECQD
N+fAL4tvcyN6+9rte78pVi4VU9TbOo5sx6Wh1Un76vKRnudFB/CmxXU8NoPfwheNmm3SVv45qvVo
H44Na10p7Ye6ZOfjAeWo+5LGPTtNIKbWcjhSojxtyKcVFzdL+1tDpPJN59NVgU2KwrfBbsZN1rKM
QXQuIXSWaNCaY294fEfkqAxWVJ60phvDNWnj7kt5TgtXXoxkUGJy9VFKr1XdzWbzSgMUn8gO18gy
wsi/j5ykuzdljWUbLea7N2f+dogyCdiUCgSWL9tMs61bb9YpC1ZhtazXRxu7BoY3p+tIQAl9ujTQ
pTYppQ/UcRo4h0EGqFUY+Tp+Td2uDnSYHkZF5wH5c/ObNbOEiOY5KWgC7M23FEfFsa/bcD/hTnvm
1m3xxDcJVFTwGGcv76/6Pv3Oj7TY174w7ow25ohP6Lo425K0iUM3+2XK03AVTk58ceK23fpUrq2T
2fcuc410kNcFoMXp05gRTt9xamcnbArtY5+X/ab1kwKAV2yeGbMy0mNRm5KvYt1vjLW4gXOqbZip
22srRmzDPF0ekTvYArXpAUFthoGveZsaP82HtKNs51V5eBjL2Oa1Ja52RovQD3ncco6zCkGp77ga
1JNXbKuQgJcNvwqZsUHkn00/OGSNJh4BxDzB7zJPpuZVV7z8YKOlNBe0pcnysWn0q2mO4Ph7MtmH
MdZ9lLIEimg13UYYYlZDK+v1FPfjOhzmYNMCGQtX/z5ZP5+sKlX7Pyb21+L/nV+79794vKov/H1o
p24FdDVoFRcrFontL0O7+ZtjGgbqtm8xNuswp3/J31RqoX3zHHXw1H0CtH8f2l1UCgWvp2vr/0x4
/+DxymP6j75j2GxcAEy0EN0kmsyV4uvDte0loy4lhJRAXTehvZ7AVXz5oVz/9DB/rWfh+/vybwBF
h+fBFY6OrOEqUAxC/td/A7pBavU8PK9aO6Fg6VHTr3znpqU4IriWw6U1fqpff8t4NJVh+3/+G9Ur
+nINMUeviRE3+6sEnAeZwLBTSTQ6E5D8yvZGNqV3GDqnuogU41UrNiKZahB8Iw49kntYgFnafmMl
aO6FWjtOagFptMR+LC86OewmC7WkrNhWDlr64bO9LNhilmqd6ZYoyGghCtxBBYql1p6NWoDmahVq
sxNt1XIUy6O1Cau43AbTSJmpWqK6ap1azJS50jx9p0lvWbFx9YbhCLIdtnU8nDR2sjgQ2ONSxsxx
Avl1Yv8p5E2AS4+wpLUrS+N6YMNremJf6H3MgB0eKaFa9Jb20Kil8FB8G9gRc5vZDWppbJDJjNki
25V3IPY8YvMr5UarWDUH0XQue3e+czudWbBhZ1nclXUkdqKmBoKG0R18QK27mSubP+jzZiyvstA+
dQAbLgzNNJ623bzKe6t+Q8k6CSHPpA5PlRvvx1SeGz+4aHp6mWbxhNLNEYkMC6yMHbIZf7cd/Uem
lQ5mQvs8VjZEcVq40urUBXINMGY/WfG1DgOnCOpVPE4nFhonFpLlqqOLi9pueWwH/anuzTVWeNbh
xAadDBZ4kE/pJe6L6yLtIP7JSzqnB73ksjZWoA7TjuxUPeJXaQckWnvKgPy5D3U3Mb1qergx86rf
973sWNqb7Y2aLE7ZVDobRvEjATVfk1d25N22fWPgHSXfG0XNxqjyQ5DF15jS7+QAFkTj11JS9Opx
eLl59wPxilupSDCsybXf5xRtjRyWplihS92AZSVUzX1LSHsrm2Gj28GqE7CMDH1VluUdhpbrPOCm
IykCZg2cDrfjFN0K1eyCAdWrvGeblpXRdZr7Ch/oEqfPRwFhKA/8LQFZcELAfGzdRmEb3nUZHote
YJ/ECMsTbE+2UiwtkPaCCnJEpWv8PWfbSXa1k29H3VlnbrGktJTjsNw1KrQ0dyun1S6+769MqeHI
FzcT3XmLgOA15sJgwwbn0W5a5cTLl3VacI1xsmmXUna6bzL2GzEJLGvSDmk73yMlsivLukvclHfJ
oK+IlvG2ZrHDEtpUsb7XxPXOZZ1RCpNIItstN62glexCAqJN/x56P68TnEJ/f+gd35u/SNoYfM2v
885wEcQFZR+Ctaqh+rJ/F9jRr6gDM9C3WQhzKnxZ93Jn+Cx4MHQPSrOrPG2/RCqb6wTADd112DJS
DvPPyBm8si+HA8eQLzyELnI7glOUQ/ePh4NrVKGOm7u7uC2yUQqIEfRjZGYrF2LT1h281xbA0aZW
5cYG/jNbO+St15PUdmMzeYlNEt1XUVDinyNaUeUgyxMMb4Ahe/e6ApsvrwtZXSorje+JYMLWi/CE
QPebeU5QPfXNyhxuLsUUbis94JISwtYOJvaw3GtMe6Yq+HNEqx16l/d2oOVwHo3OzdqXPAKhWC1G
IIKkOa1etDFO9gITxSHP5VzehTNKMY0PQQL6niKorW+FBHFcYqPjgP2pKWUCYIvDTtaBsR1SYazl
WM9bPRXNI82IvbFL/UnMa6vtp3A1mf48rrOePCkriEAjJmJXGvH3ahbnfmqjclWZJYwiIRrsPG6F
3keSaWtUUdrdpVYGzRSlLrsaTRGZ29rlf7MtL59nafu41CA9Js1ijEp3D+vC0v/dg/1Mw5lcgf/+
I3p5H15/vP73nV991a8P6aeSDNwJLpxpCeVI/c+H1PiNi7aCLeOsQBcg4/FrKPUZVwVSsmA/xbSq
amJ+fUjBMzOQYktllvSYaP/JlZ/N2p8/pKQ/yHwQhxUQnXkVf/yQBngwLPTi6Sourq0JxhIt7HIx
dv7DOKN16RM9mT6cKS6qtyx03+iL05auNiOURrSQT2AfFi6cqjb1r0CBl8tRE28+vRRZ7z8CzXvg
tPvoiX3VCnkV++5LVuUVRnyhrLR8Hsz8VMJnWQ4KmZXO1kXqdbTMhG4vaLR7FKGYN1YpWJPB3DJN
jk3gEs9p5j6G0/ymBV6xDOB0ybp/gMN33cDvij0+croPUR2drSxH+pBgfWEuIB4N/cvwUIjHYtjk
cMEsGj8TnG3st/Y93DD0/oBQYLEpIu2phyxGi9WCAP4lgzg2K3pJ4RJQDQqm6ZmjPsF5WnuZp5Zm
CxadP0o/vmpTMAEho8rdTElLPACaNap2OVPSzvXUwn+lVPUQ/Nva15yXfE5NFlqBi0tLzw5ssTEC
SAOgGr3ktNWpNnBYa7YPdA36mieBeVlGfycm8BZz4zw29VCnyzBu7Dvf7dUQ3n/y3NgXtvODISXm
3sGDSLJy8O5H6+xTCR5/ysKERewVygMLO1RjT4C0QEXWs3E3K1m5VwJzEvJcU5Kzq8TnABXaVnJ0
ji5dJc45U0L1QDMhHacRPGTeOBFqdoeqHWfvDRp3TcviwkH1psXtODYuZmP08NLUNcRQJHLDhWat
RPN0wtiGij7ZBC+VrJ6jr9eGUz+AIroNc/vW+FTgJbCycTsmSbCLncDCSBnsCh6Ty7C2jsDA6GXX
Knc/aRhvZlR+bWi8hUD3Zx2y1WO0/5aNgMdmYPaddKGXlaB2oVj5ihFHUGkbx9B+2PteF2awsdg0
KLVi0bB7mLPsKWMXQcw+XwRsJ9grnoogfcAT+hLmsOPUGmPsvF3KXqNtsIrT+7tjceyiudLGxw4k
x0C5NNmKDCQtoUG/dlO8pi/p6LM9gX/zAsmnWwWWxM2tVixZo8hKzQOwwGFR9Xhq0H2PKXuZSnH1
OvelVgsbFqDnhg3OHLHttIInQ612qMNd5ux6gHfcYr3ZuOyAuCRfjWopRALdPCVqUVSzMZrTATNy
uEmLHyk75H6A2tQq2Eis6CJkJlelM13Hwll5OugdX1KY3LntM5tqbInCfM1JlZJaT7ulTgrMyCBn
gti8FzMo3bHM8LY07n1RhEev1l9mLzpn/nhj0d5hgFRa+LX/AxzVLveBdwu33g99zhswuM8STkfO
2ncnUZ6lwbjnbfyMLTTisQDIKBY3rW/98LE7rhNNXpcBHKS8NWgECk06cIIC5JvAZ+51XBOcdMzY
y/u3acpzJWIFuw+GSF8DD5CbQvhvY9C9pll9HRhUlwauE6ygqwTLfKr9dZM4x8pr7evZ8rawAyJA
iopmVxUGxBocpSGgu7ksT7j13wwAeL0i4TH3a+suNS9gpRIVrWk3U+YVGx+EHqCied27UbpqVAEO
bZw++yi4kQjJNMAoDl9gN6cZMB9SK8wiOlQA9jWK3IeXaC9mTPwg/cDlAXnEXwrzC6Sx4v5NYbhK
orxfYqr4KTb827xgMEb//ZF/jIuw/e8TX33RrxOf1gWb3SzjtyFgNv1pLGdrTPic0/5nFPTXgS/I
tPAfDJKAzj9H798PfCXyM6i7ZDQdF9PMPxL53T+KRGoqZwgAtucjkJGhsdXU/kWyMQKro2rUdS7R
jIvrAaxbRvSimHJjFUUa7jOP2HZ8br3UonxcjMTUZXaj7rA+zKgc1s3YxcvO1QMWdp5o631eNvNq
cgfL4dhpmaHbNjjgDecOSf5lTm9KwHUVADvCbd9GaXZLFh2XSRT1yla0OxzkkMfq6K10SUSbOkw8
3EFcQHWNp2i/pTCNY8BMp5UEpRcZwTO6NHC9Uk/gBmWf0L00K+HvKRLf4PApKlcRf6tYlv3UFWdb
m8RuAv4a23EAgj6Ta72jRzgohuqNh/C3cOC+3Yk84JguNi2uQdiT3LYTbQd/tFuMTfGmW02CNk85
OZSXhzjUvpvnqkC0wbQ5Wi4/nmwmX5kF90bt3eSlvvanYZvMN0YnHuTQPrFyX9sQnvzzv9fjz+ux
wzz89x/El/7tLyZv9TW/PofKqMGnj05sPlSfWbCvkze3YvjbvNPUZ+vL9dj/TRAacLApf16cv16P
PUWjxBPCP1JYyX/mhqa58b9Hb1Z9wrZdV7l6VcT76ycx67CXYefXrzpC0IFfOKCjLe1oaj1BMlyw
N45KTfeUD0MgClr2cbFBQZ99UP1UsJTJW7PvcE6NymDbn2lsKTCV9neZN1bnZtYALzFGd953moMh
YeVQYwTJiRlEqg8qNXaJnSH8bDliswXIGurQWJtJAKt2HBX3dUhHXVhV3wVFaiXJZiA4KgBMgbQA
1JopYmup2K1s23bQlUbwWeo8hAexBW5tX2sWGVoh/XX3eXxKLYARzJGacbZOnLHMqt+DHFIRy0Od
EkIOYq/wlXNMuyVbkV376rjO1cGdWSwRg4lCuyAW9jKEYbAoguka7C5BZs7+lhkgcuqLp4YCbsXP
sWndd6VPeTZzAy3iDBBz+IDtipxvu+8FXoR8NnYBM4euho8kiriSjzeFnpy5nbzkTCmss+6NpHI5
TRlgGlO/r9wEGDi/hA5c2jJT447ZOa+TGoCQOZ49NRK1FdGm2oHcb+vXCjXBBBLfxD4impZLTx6m
iaryiUW8zkJeZzHvzfFxUJt6K2lve4ECPDoAkuYmB77IYj8BArpwK7STmRJzpNseSg874wbmW9am
O4+46zouWu/KN6tpmyGbLwaR7NGNfdx19JLXROf92Q1vNEi5izl2gOIO6aWezI+MoQ6smSjpU07U
VSdqwmVR4DYPUick+5ynmyKDRx2m5RWJ82qpZ94VCTbYpLQPLcKp/MhTInKtUR76xryAQEKfJMC2
6GIbqkdPGNBwtG0y0tE4GP03UUWPaUpqrgFfUZtRsZrhWyzakB9uRrM298P50cWXwnT3lofBtqdq
7GAX2o3hVR92NK37aNz2CMfLAkFlqXcNcxCI7Erkh7Fz1nZogc1Kr2yrpxheyd16mTzpMnhwcq3d
Qd0oKZd0H5oudHjZ5imozHaheT1zcI1DsNf123zqDjq9PXWa3MZ0EcJLfZF684YDuUS35X42tcPF
a2BUkWyDi6kXZ6AIjF4oWUNGpkzoKh1Jszm2EPek18Z38HVQVLvpqbLMfjEY1aZqQbGWHSSlaRz2
KUS75VDoF5nJt0il+4XK+ReCwpOS6L8FgMHHBS5AAiSKDeBh6u90uXEbfFSa4gdwYSyXacI1S7EF
JkUZKCbnRwd2QNZYnXJABHVA2V+s2ASpCZYFWIEHtCDHcWUAMTC09obXh8+ROJEP5qAZSSTxglfh
PFAiCgrBU0wEEgO3jN3fJkVLCFnDsl2BoIDspe1LRVUouFAOYBbsXnuPwC54ir9Q4XinZ0RRGQLF
Z5gVqYGb5LoJau7TiuKQg3NIdFASHiCMZU1dCCh6qA/AoHSGDkgQJkiIpFR5ckWJIPSagmAYbxJT
17me6uzVkdL/PWd/ytAYo//+nD29pu9/Me/yNb+fs+ZvuK44yIgKqdXqV6+k9RsnMIOrha8EUzT/
6NfAi8KFevV7Ugkd6/eB1/uNDS4FGAano6X/w0pjDvT/OmeZtZl6PR1Nj4LsP61FcTgjeNaFc5UO
WXjUwrwO7sYxZaMmzDjdStQ5sHkUJNT0dEIlyPZ2AzHW6TVnlwZ01uaTSVGehNsPY8HTN2M/JQvb
dSihgEfoORT6ShY88AWKg0ZbwflTJRkzfSNyHi+UQm782ePuOlBAOQF/DgJ7BlMUsfYZ5TEpso3m
DQSLzKS/7YYWg/AovmWjz1Ysify1hP+X6eVuprhUmuFtbRBy1gXKVWuSnCryZtfNxsVv/XdY0Dex
5V2Rn9ibHuREj2LMsn3WQq86FkF5rCN/30R2vDd8SZw5XHpadJebzkMYeyNbV+ZuO7UqHB/hC46L
PYUF60QPXsCWvvaRBYF+qAPWdoPcAojmNdvc6S0aaxt0B3ay/rFWi9y0McE6ZZcaVB850vBc58Ad
ou6qo52q4wfNuVWCxCADMgXVIXdTl093t3N8bwVnA0ydCeWJYOo6NalQrixjZbnTYQ60Z6+JaDuw
g2XUJfs+JLNcu+3MtM11w1NIWSOAzc3khMvmJUX8x0tSLh2rmTfhlM0MNNH3lozIcqoMZ1UY05Ym
t0OGE35LIvZSVDgVZZdFK3Aq4EAie201H72Y9J1Ihb/G4o1tnrOdlcyHNrYYVn2flBgH8hwDChvc
+t5rPHjWfrajfe0mo2vEH5oB8zum0q5yl46qlhj1cPo2FfPBC+0fLg6cdTKwX6Oz9AVEzgGm9rdR
n29qT7sfGuNFVmBWmy76cHMbpLFMaUVqk0vussMjJbdobKNlQSLfR49cuGY4uMircJOY/fcpavAG
OdbGHdLvExsb0leN6uKKRfs20DlzwmOFqz1XwKiOwu5sBVKGRHQDeQxNBLZU4MQc1APANJdx0oU0
nfM0WOFzoIa35vHL7puf+AzbahEH1NzTkL7xNWCjjBBwXLiuRbtp0K9mPgxsJhN3m2qevKkwIi24
Eh4sK7GW4DgXVq3cqHGlXaE5Wgt31Mu1xbuNjXhtwSQySDhRhzLu6SRGmK3L+OB548w6yZFrsKgd
Jd8yXOjDsJGwUz09vAJ3S6WqaZytnqQ4jRw3IODCVZsll1pUJPCNJ6xq011jaOlLYRDeN+u8vbbw
2xtBU629jjdkI6wUAiU7fZvuNzyUWBQwni0ASPC+MX2NGgydlbLshwuY5vUYlmyatelMQGud+rQp
9wQdFj3C9sKM27emR/OCHL4YrGYP8cQiPegdNKzlByNETi5VQtn0iuabybps4UB1X/fhgEipLqRF
5EKPZRLDPJABHu9m/XttmM9JngfkrPn/SvAu22ImO56mmbMtc+bXVkt0VlF1uTBM9fsNUL9mOzjW
frTNpLxQA5Es5dwfEjJWkeS71jVnY4Tl0ZisbZyDyCl9qJLJ3GDb8r3lCFSTZ0bPb2iGaoyFC+D9
tMmLnFE8JrGVgJIGv330wj7ENq1vYyd90QeSi1p7h9g4LMBrIMHJZl0wVbDEh6UHNmIJsHcbVNVO
9O1HaAUI16xHVpWW8YGlBdk8e2N+n7dJdvKjAYk2bol40BSWl2SZQ1hC2OyekBg20q6OfeC9j6VJ
OL/MD10qMWgZ49YV9t2/E8LPCeF/3sRPr237/ler6i93cTQxX22YLPMz/aDqRn9lwbimQ2xhMQb/
5SfO7NeMYNNRyjWbcggdYCS3dcaH/2zByBEL/kYGBZSzfwZ6MZRM8MddNRYv03Yctacjm/xZi/VF
FRt6rEWoXfJqQmNy19EQYH8HEj1hcIxZmJjBsZvhB+HaGob00egNaIds2ONuX80xpUiDmNNTS330
vE5Gs5upyKyKEqN+YQnn+4g3i0gWadB53YUNjzhcqqQrjdD/8PXc6O6mtm2bDXlPnCbBNM/+KqtK
5eHGH8s2uBahOdMFmkpIA3Np2NTg9eForHMzbOY1nBxgjwrRi1cyNba9nlKM2Ayh7TxkBtWfG+r+
9mzUeeAUwu52lTZMu9Ga+uRDWt64CRMcp+swTCggpn6VdiHw3we2a9lbDCdy5cPy0BZTNQ1rLcNf
O+Qx53PEtkfPNTCJWHzfBgfT6zzn1rYjUkJNVR3aW2eKPoTUoE8U3geTDnJEHuZrF1TWttLwV8Fb
hxFL9PcYhRCgPfVQDWPSHcTeQvYeGtKb66Y8pbuUMgburHT6aDpSIwYrY4r1ndfYzCEB8FfDU1bS
uQwPVaNl17iJIrIrhr/1quI9dWdna2VWuIYUaW/bsovXekv9axoCK7CdPrtO9b5d0gBE/nEwF3ld
y7WHKYouM+s9Alm7Q1vkbcHdDpOZTcVGGbIjEtpbBaZkJ+asX3K6etuoaT5cGQQgdxmRXDAz7Uo2
FB1mneluS4hjB9/Rk5WpRQloDNZIYSlKAq/DMu4TlBrX4ZHvyunG9wNnK/0yX7eqwokaELDmje0t
ZE8mo5gbXqZnPWdFyuKhTuADNTY3IOkCzHUzmhUrmMk9beOqtaq+Cemg5aIkuxs3ZiKZJ6OGWg2E
bo9pDzaO7o/rdigpJ7DHaj0abg+8mrbEYCzSnZGBFcbxkO/+fWx+PjYdtPW/v1jd92XW58VfXK7U
1/26XPHghA9puCScDFJnyrj6+4NT/0049AKyGQAHSSb2P5crT4Vo1YXHFDgWlUng9wcnniH+AJ8P
jlbf/4dBNOHwN315cCrPqY2DAdYWhF4UUfWI/ipiGnzyc63M8ysqMA8WDDamXEa6FEUHHWczQApe
JEF2xpuSbhzL3unYr2P40lGv7SHKUSNm3hQGjSOWcZBt9Zr29kvQKnJ2dx5n4xT69m6OeBCmFE8s
Izd8wdZ5MwRBuhZ5/upz7QRmDb07oOJ+OdMuDFkSxEuWRqgjeVc8lVZ07CHInQoLAE7E+OCXqFaz
qy0bP32jBGBjBQZKYnlVNVzqSJA9S4NRqyzEFVvzfmX2+BVTQ8ZXvSh/iLIEYj9GdInR0bCMh9TY
O5N36jp3bwX5vUX0aLLnc2v7b1nQ3stpKOFFhNtS9EfhKLlnEFdO6R6yLiP3GTkPlqat5rL7JnlS
t+quwCzK2eF71wSDsDmCCpPpJZHQ9jQjWPYOgJnERRI0Gu3JZw4kQ1qtdCc5wU9EUiE1RZyp2+Px
o+CGaoVNJPx8oyX+txHMvTP0J7unAaaqb4hobfKUziEX5oHjb3prvAUhjK+Ph7PVGK+WwTiWac+D
HTyBEdmIHpHMH6QDHTB/iyeCgBpVJTnpOcz7yWUa+NHVaX+jj8FIY5DIH2t7L6bWU60zjOJwoqgt
0b1NIPH7546Qy6kf7iLygvx3SByizVZdXTz2vIyAgrVlGmuUIEoKRGJE0cYzlqU+Acbi95Ak9B8m
OjUu5eQhDk3WbeyVRymDH3ZdJQsMU/d2KW41Ap1LqBQnn5pFDg834n4EvjluolvNCfbMizaGY8p0
xjq594KCqwNejyCHZZP+SIrmMfShLJN3l/CbU7GrAoN6H05IUhtjuHRNAt42HpDYDZYZZXo4KvvV
DGbQmdOtbg+71LSyddGPE+2F/bvnONXKFqqRxa2eORLWvlFlp8jhp11n3CrDcsajOVITaLXQgDWu
m4t5nKj2MPzqzKL7oZ7JoFe9t7R1vF1lrIE0Gmngy/ui5+AsjzqO1xNhlQ1N28+xcE8Yx2+LoYRG
HfuUEBnzTAFR0iOkN3LjTwXvTMv8VhX1nTfwi3eQKiZnvuh9QAOixhV8cG79yrvtZUCnEoAgIwj2
Ljc5IKv4LFhtbkZArcvGALNshikl0dxDFkndEFacp1cIdu0Sn2oIA4+v7qhgIxK5whOHAZCrhJEB
P2OM3MZg19ZTestoQc2mvRjC+RVZ8bUbxD29O/dpBkdj9K5RLzGfhrO9lCYNTVasPRIMKXDkMsNR
TBdNgziwwpOoAvh4egeQfKFBfcaWfODuuS6ryga5hdnZ1Ox3c2zxsmjnkfXgOvamYo0W8UooZzdV
nbPEhUT5gUtub5Kuu5gaQHBmLe+oeimXdUtJTmCG/hIbGK9noNBU9rwD+fMPMyN3ODkZyonN4ORl
2m1NIUCb85awRR4fStd9qJr60maIJ2yf3qtKv3KpQWgTPEP0gtvrQlLtIAx6WvS5OQWGvh0Lm982
P/FjXfBNo2iBquuKFxugyabUeAYj6nBtHxq6C6ZwFxDC2ZUGfhqBHd7n0WinJPvB4yyjyD7PXXTV
qlJDRD5vRZLrDgaPhCdVXtetvk0a+76aeVaW5IHC2qTK3muQ1d3XMKwOlYgOJt8cZcU6Jie9f9DE
bCwJA9fYjYaE+ztv6rQNXpiUX5quvqU/KNyFmQb21ejXOQ+4hd31d5VH60aT8vu1NBCHCnguqehY
YKx5SxrCkDzly8i/4kG3ZWkM78xu76dAPqZm99TUHtS9tH+yffCuhimNFZk7so9tMsAZiZwl8X0V
TqiZxQxr37TJXSGs7Vz15SpIkVnSURldEpCyfkKIn7HKqsTCb8zHQdzIFgXqWcZHO7JuKORZEFt9
TDTWwVbOrwYOgSjKi1mxi64yowXZLt4NHvRAGv3rIRZ8tG0t2GnOBJNbzDE+7piEtm2vSl+e2iq7
HXxz544Zj994WjOe3VFadIxKruL4s5/cDuFRr7tD3V0GwXTnkDoI3ZBJ14pXGdazrUkD6hLKH9af
ecvlOjkVmPU2s9ac/cnVNpADaQHrxoTeLIuNTeXx2wrytazCA+KbRjGLpwLbZejXUIBA1tpj+U6V
W3SWRbewK7z9jvuUoO9voeAocFo903Id0YwSUc0AOAEMeehB042pvOH5dQi62b8yrKa80mcNXG7b
2fvBjS6Mk5732tvTtJ1HiBNRBUaewyPZ+HW4yR3jbFZwE4r6IALeOp6N/aqjz1FrbEpJ3YonxMAV
wW61XVTbFzLV4a6I9Hdr0t9BRb1x5MByhCGDkWCVe+7KTHW+dV5jaxnlChPQ9zFm8eeEEfhjNk9d
YPF4CMVzNObDFt5Dgns3WrN/KIkt0/M5aDFOGnEM+WFXb51+MOzgNg3cnaZJE7O8e2VVI1TmPjeW
aaY/8OPnFDeyd5h0h4Gdxaaqx5umFdvEA+RLABOf4aiDgW50hWJCjDJq+Vx0lKOO2Z1DrZ7InIfc
Z11aJx1Xm3RP58mmif8/e2fSHLexZtG/0tF7OBKJedkF1FzFeRC5QVCUiHme8ev7gHq2KdmW29Fb
b144nkQWqUJlfsO950Iz5HMCanLcqG15hxfmlcP1qnWG3GV9R067Wd2oSr3hgFMZcddc2SoYRIKl
VhZbz9xs5UKzurRAZK4SP+zgBiXTuh4xzXPup15INAlTr2adjXRRpYnkLCrkywypCCrksLUiOmQS
UC4ocj8x/D2NVmohm1DWKuAkY7BZoMabfpA3qBOPfHJ3FjpxVsXhfQnZD0dEemawfWcnRPr47dFP
i0ejVD8BVOWOyK3HRo7nYoTxh+GQYBMFmZtjBA/ZRBqBypJojg61Xp/HINiUg0y8LrKZOpXc0Yp5
35X9eR7pTvPoc6qjP0zUlLd9OpFw2+2memqR4ZnnTEU+amYchEq4JaYGD4ah75ICYoKYj12taVhb
4HCamGbiIcuuNJyVXtDaykoZaun1oQ5Dr3MW3KjUSAgE0lI27LLsud41hAUDFo8/W7gNXXvsrqwS
7p5T98U2cJrmlFWYlyptOEKEtTmU/G1Cxt3WyYaYmtNv+XAZqT3rd2arHMzIyrZmWOwZq2ogGcjp
ItYFbti/ySb//U3LvbjX/rodu8VjuMJy8VJ/if4ssnT56t+aMv0XVVskIA5IzgXq/3tThifDFji+
dLHoqr8zGhr8iaOh9QASgiXjo7JE+wVo36L+Msxv0rB/IupW5dJ0fYw4Qe0C1YjRGJ0fdu4frYbO
aCh4f7XwQqG08YyeoY4Nq25v9lP13NfalHFq42hdmRMkAfC1Myg9f6ia+H6KE0TJs9mT41tL3cur
MuBKNC3RQ1a3i+mlQ+VcA3rAzdBJLBIw/1nBILPRRuKwFn0wOJ1q3rOKq4Nm2zK0DW/ttl1G+C3x
X7liUSHMwRzfZUXa30OJiyVMXzGh7bIz5vFxHG7KMl3TEaUNwi0KrhTPx0Ou9mSNTYiXH0okoqyr
jHKeXD3HggjSsspdNlf2lZb05ZOWVfGTYpTY4hwVazUp3j5MNzWwV4RWR2dS6OyOqLM5YwUWmb7r
FHKfByJzMy3uzkKxsgvLzPubDEPFmlhBqTOUzntAIL4BGa+yn2VO7YU+3Ck4A1DeMpKzI8PCrJda
N2RhE/s4t1m0S4kMfc2konkhQalN7k6iMmqJMMCIIZohUSDZw+61dmvUvCEN/jqlf2qjWlWx2DPm
0SmQsNvH38z38zcrPoNKpoRA+G3+2lTWwdYCgXjd1D3GFydvrh1sN5sYXBPimUYP7zK8Mo6Gteuq
eHfQ5ErQM/JrFtV18O6yCd8dN/ZivknSRgL9RbsarEwyFZljiijdCY0AKnoRKPn7Sq3jkc1dpA9f
EQgFXx3kVtuu1fxNGoWMPiNH4qJTmgkIXW15OPGbT2wQy5pwWcXhTG1X/w6Svs3ff+pCORXNf/1P
HnxNvzZ/sqj/YEVZ/GJs6JnTSASJ4mPSMvgJ5je2oYMCZRS/+E1+XdTrv9D+QBW10XeyzTI++MXk
u5WM+TwGCMs2ULD9A3/095OkZd2PF4bWQkMOxzJALH/+YQQf2xZ7q9yJL9B8z4a18sOtXj1+ONKv
/uiQlja/yHdH4/IqAN8YigFvYpv2g9+l8tnvG7MRX7QFFYhX2CIPKe8n2/U1maxjmm2IAVI9WQGl
QVeGsZvO/rFnj30jyvA6jeytNMKIAkGwhFcVw1XtjgxyNRKuCML9ILN918NL7p1d2aknMQ/XzSTP
1VxgfNAuccEdRJzwoegXY4WonI21zKn9jii2SDpf1DEcViYZFKu4RetFas8bVuEa1rdJThM8Scdh
qTqtRgv/7kRYs3kYlDnb+sNoee3ycYuXD97YzXwGkzYHYyf1B3/5cFqpoT1LBFArhQtkG4kkNNdh
V3HWFlOVPOJoJr0UCdO0C5zlM66+f957zb6gmJ7YmS1HwUiHEK5agiLsh1lWppdWMt3WCizvrVoM
Iy7hUuVurJhTZe3kg4YHf29XUjnz/UtvMV4kytgdCyXf2qztPESJCNkWa2DNEcpcSU8OHRwI+4rX
a7RnYwqs5iingkFawISnsGpjvApR5q2qYHKOTm1ah54d45MwVf2R5gKnYTpBTWvzTt/b0D9qvEPG
MO9sVjtg6IfGwRmE78fEZ7cmm1n3ZDniO+oIbUb3OBE2YvSwZDtr3fJvjr9jbl4aFBvjxAxhGtHX
OVW0V2SmrvFm0oal/XAz9yxPBSZmp1CdG9gY6oqNKImHkwNPpcQpPSa61xcqHsjo0c6M/sRb13tm
Fc1ryN4SRQdF8piO0cGcu3BNxzdv2zZV3dyB1d+EvVxc8s3W1PrdoOd4G0Zs0fA1VVYV2ZmQjjPZ
p/kmq6NrvTD2dtjFnm+muyLKEy/QxFXjDLetavX3AbXwWyEgNseJZw6j+VYwsjKyxkv8Sr0TSrcJ
zHajyCLBppRtEpvV78gKvDHLL03Tfs2j+usUTw/opEGz9gdnzDYcINCM5q0+ivNk91CV2h1W0xMq
L5LM+s/C6NCCKJt0UFlkEBLcTa+kYrEAefUZDXuDmWqsgwD9Jkb/ZJiU77Opr80maZgVsdlXhvkk
M7nXAnk2y44ZS/JU8vZB52Y5bFtrvzc3gbR3nZifRr9ZB5kvV5WoYIEFjJiaXBDHQJaXOrFVtqwr
fscbo4NuOEZzgOjDJz61F9E51E0CI3153aZgRIeqPQZy5GFmzJNWlET0fTxl2XR0+BAxBllJp/aY
v53sUiORoHhU5pYoBuu2k8E1ZdQJeI3bS+eUdf116CA5keVaMiBh7Tau5IRlKQ4HrP01+r2gFheJ
kjwXifpcJtkhahJ49vYh7tTrmalGStZskaZnQ48ZF1bTcbYslnpsm2ySk6vE2lFdeE5NRxmisZvm
4UA9Mu2rOc8PZH9/ySYA70qIrm8KmFQZo5ZsK6fc+o2q3MyTUm1+fvL+CW5TZX0B89kQ7CUASv9w
voeTmjWTmRIkWWF361NnWltEXXgZqdynNtMGz+oJQi7CjPXb/FUtq+a6qhJxZzNSxLw/3nRMMxgq
e4ljPYqx3UJHeMuBLnhlSfJREONIQqazKWae6ZSRQeEbjTuw2QQfDWLIstsdaaWfKcc6N4qbBwkC
dN2rLe48kRQIT13kk824V0vG/a2fI2Kut1Lvr1JZbJvM+jKl2W1nxYeOJN+5SQ/gDk5WWZzsRjrb
dpgIp5yinRyZMzV95Jo+KZehHm8Dbj+vEc2NPnWqW4bmQYQOn2s8wye/VTH51ON9HPU6CVXoiOQk
L/Vozt3KNIF+Rsm5L+eLsIn32PW3xrDQ8NG6+kuEEAwGGBV4E2HRrI2gPKUBoclWLi+jlMayy3bc
azXSYarRYkJEHteXSZze6Jaz8Cn61DNzphpaydawrq8irekZ5aM8qwnj0Ccd5uYYsWWxjlHPwzTy
gNooqZKkWkKj8R9ngJVUYH2Tl2mmC1hsN3AOaU2BE3LRvDKwDxzli6+ahJlgJkXRMa6SNFP3Srmc
Ze0pssxPUqQbIaC+EWv7NGVSdUHZJYCmgkttNlTvfXChl7FNglLcPRSkfhyZ69bnlJXo/uePKo3d
jyWCqWORsSRZMvR4P5QIqFsGwFIZ+c3dwlg71Ch1f/4K33tw+JYarRn7OWT/i+tn8fR/LHXokoBS
O0FwkcKVU8zLqIt2UXlTD+wzGHEyu9k48frnr4mS4bvf64+vuvzeHwqsrkzaUmfTdBZTfgsYF9Uj
/8Gt+AmZwLQK8dm4rW08mr6G8S5PIOuRgJiSz+QKGRVuXs+fCsU6QTARLlkOm9QZ1M92qFteJuJ7
084GL0jg9aX6k+knI/Y/7AY8TXmx7mYrX9ulUnlq2duulU/Tvhst7XORx+0GNaTGvDB6TXlW15Uw
Q48TePJaYm5cxiu3nZ7OKMaSeyRQcp8F2lU4tV9QF+24lO6aut6YzdCsJIgMjTAGFItUKOkAc2+a
O+HC3UGMNBjs4qPxZpGb5wRoM3oJGHY57Mqa/q1qBsk4NNrXurJDX3g3zvGjLpKD0RYo75bMxsjX
gGC1EVnZnbFP5viIxNDLJx+gYSoEF0zCKSseewHkPYqzs41IPa+Hde/PPMFinbRBRk5Z6RUxEuhy
jm2vTv1zSbhDYFg7tTCZEwXjLfQBCrhSuevaBIGV1gp3ttotfENs0F3xgvviXIvsugKKAMMKUKd6
6A3if3tD21mo1GB6q/f5BPTcJ32e5vQC2IruxcxTEQh8xXyJrzGy8Sjo26DUTxY+07953P7uGV8K
8Q9P26BTYkjiQ89MoK+CC2VTHauHYTvvjZ15srl63Fc5rFC7nfPn4fjzF19M9R8+wr8+6ph7cOBJ
Ji3LD/fhxaEi2DkDY+VcekTHnaRbbmChq0fl0doQHnZ/qbinx34do8d94X/Si+kkVodo418wWsv+
5qf5vrH59sNoUFrJUMBhz/33/Q8ziQGxpBqHF6G4IiJ2FYnHuv+mofhLFNP3Z9YfX+OHNTw+kU4J
QwJviuprUO+c6frn/6J/+jtYiKetRZCFVur73yEbzRk1Z8XlrVxVDp8Hg5rz2wn1r6PU4N3668Hj
A7ke3Z/xiJcv+23iiCZek4B+GVEhi/+on0MhYjBUpKRiHPmNevZ76+4gAbHo7LHBcZvxVPyqn9N+
YYso0Y5oNN7vf/T/aN0Nx5Lk6y1UZNXAWPrDx20UjJLqOu8uoKK4FbuGAFlvZGd/c20CX/vuc72Y
V/HA27quIgqUSPWWx/Tj5zpt+8rEAs5K2nDukxCoBBACOr0d1yw9nvbe7+E/nW/J1mHqt7SDTBaC
p7KI7QMSLOeoWvAnym8dJL2k9t5Vmu8dZv/ebfbvnefgV2iIY5Vsx17vcbyRVX85xCnch6gsC7ku
hrTrkc8HzDSjxs8/RclEHgKTf+E1+auR6sOFtSBZ9E6UqUtRmSLc9ol4TnHbK2mDzMqKhkK7FL1q
JKc+jS9r1KmrjIxmN3QQIIuvRlN+ydmG+Y24s/pql5P4bigmuZ2C34ILYe0Ad3KytTFme3+aKk9L
MnIpa1qEqXoL7fAGYNiFKsu3TutvCS1h1UfO2hOZwg2qvqQ7K1ZZE89lmIc0cuA+ZwxeZ8xQuaJo
b3rc5DvdD5kGt1W5znrGu4hBjLUc7DNA4IsmJ9VslnR6AUv7bZtb95OqfErJmueWC1Hjti0WfJho
zCSChk0jSJRojZOEb0F0kop9677WW4bHpp2HN03QK5jhSSd1RjF+AhE68a8oCYNskq72dKWevNiY
byqzhaGmqOrFh8/en02Ivj9J3x8xQnAEQQP4MjUe6+8fsWqqaf9Hu75g8/WCq0u9nW/plFaV2+7y
na+u6GPX2dZaI1nm+tI32ppwLzf5m2f9PQvn9xn++4nOYYto1lg0VizSvv85mPgMXQDQ4gJNwYEB
0egmAc6LkkXTyraQ/1dgRWC3mdT/vi3OgVX7B5X3yEyAi07WdOH4RG9gOHtux8LZNBIvWtuWG9+e
n0EaGMiyEGn68/hYpSXda10RoNGQWjcONMxqGCMECMf1pDnbQc3d2J/ZXts+eHEHJwpGEJxj5Ktj
dGzp4yMHZ1+W72JgpYWG6a8Q5XoYgpP0EYkmOUFWS/+QZaRh8yG+GEb8FlUQY/rTgvsA84CqZWc0
HWIZL4NJ4kGznEon0jy+/flb/P0hwr+sg9IY8TDnJXsYzfnhEHHg2jhl5tcXos/iLQcBevKapSLd
8xpsik63GLz8/CXlUtF/927+8Jo/vJvK2Ft1nwTNRRVoT4bPercjDXdurJ2edYDUaF0DExmXBVPO
SBuC+vR8YmhCqpCtGKcisj+JqCFguVHe/ERnj1yd4UFdC39+NYLqORuiyquYMnyrXf69k1VKxr++
k88vX77+2ZW8fNVvVzIgJpokg2hvriUsZr8vAWE+IaVins4UFWzuR7ATtFHm2zZVFMmmC23t9yvZ
/IW9IFtAvkDDZ86g/R9cybq5HFS/P3IcZDaQaa5LzjD2kPbyQ3y8KxWhTg1JdcGlj/LPmjJ2fg2+
8XSqL7Q2fSwTZVXCefLmaDosIVXbPINjXnQ7KpCvutIDN3QMupWBQBMrPXKG8Nl34nMO/NlTFeV6
6aGIBLIjpmDpg3Dw/viR46wBm7+qKJ9o37qLtgtw/PZPZpq9qXGyNgDLo2UJn02HdG8Geg+012IH
PucYZIPvWj6RUPzYxabrqDYjeJ6BKp86iIdeFSF7bzQdMTUApc3Y+m/90HwF88Y+EbPa2i5I+WTy
eVskIXmp+csshgdlQubnmEHvFgZT1kQh+xPNp9ct0PTSIXi4sYrPRBm/hlZ9kRksJ+uBX7Grm2Td
lOqVkmqLfPNclPMxLiKgDrXBFR/JK+KPr0SuIfqL0tYd7HYEXKXbW1Mvez6qw6vfxNCf1YUNGtro
q0MDYIWI7/oeik6HwEITbcWvlFqnIXNum8xnHKZeN/lQs7rTCWh15mOYOoewHY9lEQoM+sha9bbf
ByrasqBANQdYolgVnaFslKixPQd92H2TFKQGFka37lpgS0HZagc4fUhrkvEL2v/pEPQhQaK5wAiV
xfZWG2yF/GrtZFbqnnO+xIfj+9eTkhersGqdzRTQ4Tpp5qwCJTLdvMvD68Iks7TGYRhZDJaq5wlc
3bYJkJClZcjAOLAiZnP6xgJ7AWAPy4GZE1kQVPPasnLSRYPsFdBN5qoWs1TA19k6zWlYx8x/Ti0i
OoO6PEdJOXl808mD2L2Jo3z0xNyvI18lKjc3m4OU1SLCCT0L36RHWj0PZAfgRDS6tqslVIOgm1+7
WpDK2nSMzGD7r+IkB2bpF9YuimXvzZN9xlnnePZofq3LnlxUYrTygbBNreVRZs46ekEfpZsyYFek
KuZtHmrPvZUgtWGuuWpsK921zZi6TTDcKtPibmYSS3AsqIYMVgrmUAxzXc9j7FhXvsCpCBRL3ymZ
8eTE8jMTyK2lAHRaRIhKpsAHU+wK1StK6rD6PDk61/NgkbGaNw4H/zS3AJa4iAFC8fBG67Fmra8N
XwncfRwDPvMysQsWGh2qWELeJ63VrqwhexrykhQ9G0IBSizs7sb0MDIDZ1qJC2uMwPgOC9ehaCc3
SYpHu+iG7ZBCdYlw8ft1REkUBuYRVU8FNY1QvMnI7+bCv6zN8tSNTuNh93+L2upWauE+l/axt4nz
aePjPCO0YpgdKuFZxBg3iwnHgp6yoslq/UYUZu+pfN9NNapHW2MTw4B2X1gBdLSEH9wJds2gH3F/
vJmttWmSaTma9HWxqDkLZJ1yGbyQQ2KsqhG9QfSu/kQGauMN9zsU0237mJOdVmzGsCSvLlTgm2pD
1zwwXh7YFsiSQE6BAnunRbbxDO/AOLTo8oKrNEgDe99Wiv7sB6b0z7GBdzhDZO11DqAttgXU4IRU
gGtN1z7Py04vkn49xDjjBp67tQEgY8VT+NTp3W4m+Qn1rLlDZkX8w4RjbYgCCFiFf23PM0HvHfLy
DN0QfuWr1AwYfZGotc7KiOMpSSVmwPgtqK3rmiTonTIY5K815S6dktS1IICxd2HG3z9URjFv+BRv
bR/u5JJSWIn5ytGjY5dMmPFL8aKOnONFPqAxz25U5Gpu2/rNjjBZBNCNfzklQroT+fYkHMXEGAaD
muzzguFto+UvVtGHa9gANZyK6BQl8WcJ0KOIx88jetW8mkqyTIytr+t8DlPcO5aS3InxhA7ZywBX
4DbNZ9J3o63S25eBakRoFOM3cNCHOWsZcoPUstJorTJEQW8Gdp0MEoyhGbrbma4h9Dn96iwLNjni
D0aaLXkyMoLKCblz0rOt1gvVzQa6LYkmLooNrFW1BfChuioaVIvAS9gAY7OtQnmhh6hPjUDZGDWw
XMfKHxKzuCqy6kIxQX0URHQAS3uNBzPcDmN6HMqxWDEnPfrl/GhUNoab6HIykFTI1jyUPkmLXVwS
Lin2ZWM/s2GPtpog4slUCoi62MdzLdJcg8k3FGsPiuqt5ZDEC+D6q9k79WaYOWw1MoHjDOcXPmmT
vzhuarM+6Kjp3S6Cm4HycO8g0QHnrK6Sfma9Gt2mfvZSddZeYvlJWpRvhfKQaLzVApll3RUtxw0M
RDX4GjvOzhiKfaHwp35pv6GR/FI26jGT4fa9jPq3nlwq/p/Uk2w7Xv8ozli+6EM5uaByyeyFtQ3T
lz/6zeij/oJsA82GZPZGQUfL+p8JDw5JuhlWFKTTA/ayaGX+M+B5906iJYO7QH49viH1H1WTfygm
mbmgbHVUYiCoad9lFR8GL1VR8bSFcXhVkb5p76p3H6JhXaoY3GhbgneTItytAaNOV+Ijoz5arIzE
KLf1xn63OA7mYnckGmOHqU/zX9hrxoIeMU+BHlHV0b6G8QSml6kxkmZ6xozTSg8BTaqdHBngzsac
Rm7aOGTGs+OyNGrLyeTuQnXk2NOqniCos0KJqnBncazDTYwNZaWNNHm7KqiRdOdZw/i+GtIaYsli
2u80xPzrgMQm7mjbpLZooZUYkdP+++h/01UuQsafPPovdfRn5mC+6NdHXy4AEYtHnBkds5zl+/32
6AMQkeTRmAZ+NQlM77dHX7N/0SR6Sty/Aknl8oD/+uxraDBVRp4Illiw6Wh9/smzDw3kx04KfhiD
GF3qy0/BN/y+kyLwjXQqRcyXWhY+VBqlfsrmbJXThHvqnG3sytyqnJ/GpLAzcx6ygjJEdCMXnGPe
xbZ+1op2n8UxMxvbbzzLysAmRCz779HsE54jxXWg5PW+pQYgVSqNlc+AOqkQcpV85KPl9xmS6lwQ
f5pa8a5pKfeyLsZiBYfAKzrzdkiW1VE/EfhAss6Ya14ZQsiqxuJumpQHgGH3Gt3ASkjKEVFTWivT
ZRjZB7KfvSlsXmtsacaChQ9icVPG8oob8UH2Te6FLZeK3y5LaMJzOz9/m2rSZRALbnwdjoKsWd4Z
cryE1fUCEX5EcKp1HmTML9WQzV4rUFQ4o70ORDu4NDHqJiHrCOuXok/7YSxwnwDAVzvU8wkXmopd
o7Nc0OEWE6UQyYbsj3VfPobCeVIIw0Xao10zvlwDpnpIIpJc6ni+b7Ew9Z1aXqgkFmRl8SYFI6c6
unHQgq96jSSEINur2fSQNN1RKXrYW3RjQpksV2paB3QCHIGiJO1KS5Nd1SiE14amC+JTer5kYWaw
VbqUeKBxzILb7dshXYXF4LZOHTPrRAOU4Xte20kyu/lYqi5DqNdwIg9MAzKC9FWsmhEhjy25rLVd
19WXfkoQpcaqk+iiuirxZptdtm2NlF7aSLO91tZu0xjndoTGqhUSkwTcYl34nxPsTkk6KoTg0fPk
40tgFkT1UoYVKeF3hGwDaMaIF2rKiyDIwq37lrIiQesAJoZQUrJz+Ydd26LpNrILzVM6aFhx8vo2
bFAayTYD+yADxE6WE3tMonZhj9y1MbEipb3l2TSqW6QD7Sbl+b9AfU89oe+VqnlAL4jNUz4MfauS
Pt8Ir22kympNxidM8VwXOF7XoUHSm9/HCi63WHcJh/PxXKjiohw1eR3JpTVL+q2jl6xjg0OGdwhv
nnxhy2YAGJmiS8a3WPDIZZpsMFstg2j84Cneg/wzISQb2UefikBhNNkm6yDk/YzTiXG8buKTy76d
7n+5gFvOgN+nLd98sNqCzUfZzXznR5hfqY19kpIycZlm94n+xTC8v9Ul/MlLcNkjEBeckUKKH3Zw
E0LsJgZ+d5k0n7vkairvcuf0b3n2rqBdtK5/fUfdFmSvv/yxPlu+6v92SRmL3dpEag9ucqnCft3A
2b+QH6rbDgAGncdj+Ya/buDsX8SyX7B43ti/CfMfYV11+/sK7f0BZMaMphXapYZ2ZbnEPlRoSV6m
ZSJiccnIsg43yx7K1dBfvNZxt+51lKQi85Od4jPSiFXnwW8BLfg1axqos5/bLL2lpXJWPHZe17ao
gcroc6eIfdNXp0SJA7c2SB6Iqh41Yd9uEk19HiyAQY0cmiOohD2YHVebo0uNkLIsdM6059iTm2XK
ElfUacRwo/Dd5VEMOB1cjkbY+GCSz6XMVwkKUDeNhhuptU9OhDObu+iaiAV1VSCDUMIIBnLPpr6K
ok3gmzhmPrEZeh4CPLmxEd80NadrXTWuSvpmJqqUJDLEH0Uhz6LUuelmfSVU/TiTRdTn3dFu/C+l
g4ZIms9yMpNrfcQ8GeT+edDxAAdSeRpqY03IjPpSkxa3GhKbcX39EEnxBV5EuBpKrXLNNL0fLeUL
xlJ+EfLjl3N1SgMCLfgdfJGco7l8aSDVbXofk/VAd+qGsjK2OZ5jfwwRQNrZ/VT6l003PGcmlJ7E
AshkV9tWR5PmwORbYfXa2E2wJSz0MpGQhxYhazeowp1m5yE2MW0vcL8eC1Nr925jx9d5RrZMn49I
02aiI23qbL/8FIWGhgSxItnTSR6qBppTkrSfjHk4DmbFqq7J3gq7PlMiBacwCS6ckEjPvDXXQ8M8
gqS/XeOz/W+q4E6m9R5B9GKIA/8/mB1iRjP8AujwNvCnLTraERpPduD6pNHVlK8jJB4yKDdm3D7y
/+3yBdWj97ZN/QO+J4zbq/wd6APZxzwVC+bHsTLP5PPkhQsCyIIFRKDsLoYNZPaEBLBWDzb8xbPa
VeuyILVZLEihHraQCmMohjWkT+rWCTAxlFCISBZy3LZgo5tDKOoWVFEFs0hf4EUzPospZJqqL2Cj
BMJR+Y46WqBHEvqRhIKUcNWkDmLVBD6SngyHeAEmhTV5fBCUyAiCEWO07K8ia3plv1M/hnm7uD4c
1D5mkVs3sgQXhWoUZsK1IGL3ppkCAj+ZwGxaTRDJDQC5k/5bEoxffTbtblikbi4q62Dl40Nj1p/b
hJ6lLAiyDpytEibXuMb3NkpiVzMdrxyxn2gWXtdU0HYZ7YWKmJpfrlxXlrV0QvGuaEd9jal6YJpr
zS5sEqJqo8xjYLLRzOllNCWR3+Oz7dtr4Uz3vNEsoWJlP0XKKa/CbZhAbgAiZibc7nHqYYLfof9D
H5wHq9HGHa3PB61sH9Wq9ph4UyJm46ZHpIhBOz5ZEcVTi7HWGS3QJib77ow35KGt4+00dpjVCYPI
un2k+AGLQ8ubUCSHkfOJApptYR2e+iXYkJBBZzNmJoVbwqi7Emw1nFfmg3wIJncarXKdMM/Vyums
d/F+qBdljxQ1mq2B9xaYrNLtuqZmMNxfxqPtNbF+J6IgWzkTsHVK1JVOULHODJSJCY0oHBm21eLW
6PyvFYgCGAjZvsV/A/e13xFfPLpKhd0IyAQmwf4Ysu6MI8Ne2UjNQr07D1Z+HJU8B8iQwjqzn1Kq
TlKlFsQvravYkt0AW79/FLLc+/qI31RYa8SanH9jzq7CLG60zmndaK4vdYEKPYh3KQdgGfUXvjnf
VUugsGyvfdkdGKPS5jIbHmEYsc/fmGa91hR1XxQoPJsinzmFtY1jtEeRzxs7J9yB9PZVVYoFWoEZ
VnbPDEEZXmKm2KuYjNV8WpVBcK3O9oluu3fnWYk2JtJigVIagk/oJmVA6LMSOcizDcjd4XilpcoG
5cMVk483DRNtnuEAMNt1AyNvg4QT0S1J6VNbXrWWfT9GXehmhkFAR2Y46zGW6adE88Ewlf1bTOEe
juIh7XIyiItT6BC+1VHid7P0JAlbRgAYdukB0DxvKpqCRJXzygDYxAm8bnLjulb8gqBdGgmzfhyr
8TgsHUbTZRYSWBKGaT7QjbjhaFwGNCWw3jjGaVOgBBOeSQTJpO9MQigf+lQZEtZgubpB5z1g77TX
qSDb3cAhUS59z0gDpL93Qn0BB4PmyGGwqy7dEuUCyZk0UOPSSfla9Wa1fYKVLDljqea4JKmOaPro
saARow+8YRgyrPpCX420ashwaKqcA3S5y8Yc9/PS09WWCseBNm+k3WMoeZdGBBdDn/LKlFG/Te4g
IUSzq8826WV0jenSP9ZLJ2ksPaX+3l2+N5rZe9P5oZ66+lYIf4wmlMu28ff6mG2kZS4RUDTyrDYF
AKPvyxPcdqo+4RC7VG+z1Sdj019V7rzKXOfl7qY5F4doXSCwiE7Qjrxwh2waAuIuPv87f/zvb0MY
+VON2ZkC94/l7fI1v5a3i29Vk8i4KFdBPi4zxl9nMAjMeNcM1FaqaYp3t+vv5a2FFlAwmGTXTPH7
oby1SC1G8uiwzP7n2ZngYn98fmz22SYtKckJPEbWD+VtM9Mkd0ZnXgRaPp8IpRUlyD8b4z8pOeSt
zqvZ71hJKBQhqWe3vlWcJ5Gxd+miGHFza4j0bHeRyFrIJLxG4DZ06/qaa0CPnXWA+SZfaTN5eONq
aOMueBw6tnDeLAKdJXSC26rcN3q92NChGo3UDxabiVApgo1l1ACMxvyRMQFaetaO6KBImGn6dlX1
C7ImgnLYBUqz8TtxF+fyXOcmpqsMb84kbmhm2aqpo74q/JI9b3bMK/+kDuPDhCIZpxfImrLMtl25
T6Fhc/DDcYvMGCqChbc1HS2WXTYzgw7EOeuI+TGznCtVoDNLgWgqXUOGOczKFQLPksYUJVw+fZFj
O3pR139qR4PRQAA4KRKGx/Tqivth2gxmj6C/c5AK91XratY8eklrpgBauT0moybcWcg1jh4kWZ2K
XsDuvyj6eGRxxBynRuWS+eqXcSwLnGDNBq8bWT1V6mZqSuSMLN2FsIrtjWS3CvxFBw+8j3qJ71e7
VSANVVYnN35C8IqCesEnWXmvU5WuRr24iGVxA5+NdJbyGHGuhSPnc8/CVLUI4e3Sz/pU4jgOe4/C
atWnCUEROuM5MBc6IrS6hHuBpwvW58LCqNP/Ze9MluNG0i77Km29RxnmYdGbmEdGkBTFYQOjJAqz
Y3YMT/8fZ3apJKV+yXJfm7Q0kygwIhBw9+/ee26ZbXzFx9Cs7lwoYkam2BmorFsjih57gTc+U3wN
S5E2NDe6MlNOFjarsQGPQ/ZQJWq9eYwUqmPOnOMEu6OLxjW1x5LUFG1vIr2LhDwljrXKFPbDVQCQ
UKFAKgUFaYAwLHU4IboChvi19VYqhIihYCIOVBFH4UViOCPCyh7IkX8sYEuUVX3R4qpaIhqZKKmK
WQK8JM2Lj4MHw4VcYa9bz7rCm3ips5VDfj9mDkFnAChuCD0FhyBQlBY8yqxAKSRpwPwoeEo8DI+C
Y+Yqhasywlcx4KzYLXMogINbAYElbZ2lloLydjq0PhAt2BaGZe9l1QrcAtFKpDSr6+/DlElkqSAv
zEX3kcK+1PBfejgwmR+90PJMW1IC2YTuoxoKrm1ANOofpALJGAopU8KW0bTyoHvBq3iHzij8jAmH
hoDFJlFcGvg0mlVeBz2hvAxyDdl8f+XHOlOzUbuJYvsMMERbUhW4GZP8EWqx2IL+fS2iedwBCd71
CpKjxeByhALnWAqh08HSSRVUZ1KRxVyBdgJ9wmEBeydSEB7qwTfFgMwZKkCPOuQDnxg2eTtdDBg+
jYL5lFB9Ks97wOMVH1j887VrjG9ZEtylNiggF7w73CPwQO08fR1wpC2kQgfRW2QvTUbP8CRU4kwh
hiCc3ROs4NYhRAuPTMP2USUgJOhDXdpUTHFseHVj2EWdK8R6dINz79RnA7JR1o0Mikfwi41SzR3k
cwzdXxvk9KgEbzSXz+JdZ0dw95TyXiHB60qL9wmjr8zevbNH095H0BsX9IirqWx6NhDz6cTeToj7
hHpv0yY8Fnm6j7v6Pozrr51yA+BlOU3YA1yt+lApv4CFTXWhKw9BoNwEjfIVgFRce8ppkGI5EMp7
4CkXQs7Mz1G+hEE5FBI5fAyUZ6EvAUBK5WMAOPw8KmfDiMUhU14HcIgl42YT+wlGCHN4G5QvAlh3
shaTfYzd4nmceEeNgJ4MHKjkBcuP76Baq2XibTtvcYSBYMqQU2fL2ettSVOC/YKt96s0uBkq4X6o
Gj4wIg7Wysnp9DUiQQtc4V0lDidwtdQ8RINGdFfeOFp2x0slphhfZsDAG8dWaQ+p0SKB68djerWK
fX1PQ33CpMQf9/bg3JtV+BR7RMSaPHkrhpbCYXsgwDDMYtdm8sESxLlcb5wXKqoUtH+ZT/+r0qpM
1P8+BjwjVfE4/cUgUP3ct51S8C888+xAUGo9BV78z04J3x92UusvFeuHOaD3L2zxOPfZxJjme1L+
2xzQA3KLlZvMu2XbnjIL/gPbHyjHv22UlPJl4UukxkYNin/caKeNlpkebRqXQoftfI7NznkZDT32
905D8Rrwh8E5zH3tvrixPRAV0QRA82HUhudm9tqPjHzK+yBIHEYDVj+UG0t43WNr9QYOGmx4azem
n8OGtDYq5Nqo4Gu5wrCZo3v1fbHtI+PSK05bPr2CZns1FcCN2JXb+sU6BO5mKsqbOTFrwfy9HmW4
6gHBkXmCR6LYcFEj22WkT6+Z4sbVAwQ5IrTtolVUuUnx5Sie3eRCQsVT2yynD/Z2BM1EgqWrCp5U
YOqKxDVWmUVmMxxvWDMimv2Qp0Db0WzxEvsprDtFvWNhJ65gQsKjGrpYkjAnt2k7dym4PAk2zwSf
l7kiPxUA9fqYh28dmv7Kbjmm2U0ECH3g3FiB4pN19VDbc3W2APwsZoFdpVE8+qaYWp4VCmGuuH44
3WPaJ6P8xEya7is6PVyeKq0BAarXmzeGjBPAcNVV3fa7vE23OhBBA58Rq0iKlSdY2ooziI10g4mD
s6qCB1EyC5eQjsddIvg/W46cBoPyowBeyN7g1meO51f5ZyOLP7iKcth1qX0KGUKCWr9NFAlRKiYi
dQfhIurdU6QqrcrcvotdAIoNyxIJNdCX4ghI5q5SrEVaxvHuUIe5wC+Xwi8aj9i8l7SRwLovxTZX
1EbT7meO1ZzTATqmiuzoKsYjE6+1W3UKbzYsNcWBjAFC2jVkyF7ZGb13XGRj7zvFj2S8NcKE629n
iaTlALYRijZZK+5kCoCymdJPoSJSujHhE4eto9f4j4zdn7wwWpocvdk2s49Wv4Yu77TJ39ThfMmZ
yGLj3AThlZu1vLHBYuZBdp0n9yVRvEyhyJnNmGDDUzRNHaxm53LbGYA2S+BOviJvxpr/qHEOWHSK
ymmkAMC0JtlkADudqrhYADwxol9ly+a0U2zPyLPZZtYvNtDP2DEfCkUBdcGBVmBBp2Sgmh5QqBYQ
hpY1GjIIUT/14JSO58bt3/Dxf2hBjRqee0oVe1SPoZB2ecCyrsikAHq/5IpVas7Qif0xh5sOyJQX
7y66IX6qFePU0IuLGRpXAoBUg2efNC1c+oqKSg0hTQDMsOhAV8RU1GfFUAUf2mAdhquq6SI/aoq1
6rxTVxV/1QPECu44W3egWY02fKJKfkJ9IHgcEwgO/PmUg3PtjQw/ov08uMUrovJhdrgo+Ne0gqcW
BnsalQAQ6lsbTKyleLEJ4NgeiX8B6FBsJvZltpmpvDHpA3CzAbaPY2I04rZVBVmHURoq6i6oWTet
eRUENeyB1H+EwptjlS0Mpnjkvjd1rndbTJtkm0VJsfJom9dxsg8k3IybmC/Wks/cuQgPgdKRtFbj
Nhwf51pEdzB58mNqs5XueAvWQ67lO4NBDMczlHQVcInYmbhdvOs0C3olWdMcbLbOlCgN/39G5L/L
tAJa/WaZfhO4qX4J6VI/+O91GlcJ6gzcKYYTSmHjj/490TBtZd33cVkZLMuwa74JdrZOZ5xJziz4
y2mloMr/EexYvqlx85hC/KPWZcflX/luGqbEOodhCzMTH2OLB4rrx0Xao3jFh9yuXQDZYV7iqanb
81s4wC3JnBwNADEARsWmeZcH9KRq7gKlGZie1NAPPKUlRO+yQkA1w6pvjeYRSy+yg6OB2XXjEC6m
6nhIa9X7YPqwMtuB/2PvsPV8nXox1Q9Bk+O4lpUWbBrDfBLoh5+jmj6J2hyrTRnTMTGgBUJfVY+O
kr9rqS4KWFjNS/XeT6GaKuZYOodBeIc0bazFAGfeibGutBRc9Gb/qRhNvhE1GgK+BLDMynNALcak
+jEKz1nzgKBES3VnFE0arTGzWdtmosyFejSL0wrp5lIpB5TNrX0W6oWpOjlmcBGc3Nsr+TSel1OX
P7P4TfeGwdmuTcBOZTdJHcUrjD236dwx2jENBkKqWoxH40BEoU2Gjevj1LG7vFv4kv4QTzWJdN6Q
HMR7u4jqGeG4pK/b9/IRJhoDD1QaSWQF/4WPRbvYqq/EobiEgbS1pO7sUKtOk4yZ7+3MY3srWju7
Hak+KVUHSqDaUEIeNEAX5znZsATQyrO0BAVWqapQaVSZyvzeqzKO4F3xldO2QjfdDG9fVOG9w2W3
Mk0rfc2NLfaikZKHGT0ooav5Z2hc8BW6IDxnLj8szkbdh7fww57z2HEWsXBfowZmw9DiIcZE9ZxB
R1uHHVV0aI3LTotOuZoL+Ol0yfGkL+Op+BrPzoqwPGP6Ahc6XV3e0m58BtaCaYwm3X0jkahM8I1L
mYJxSxmCmEWxtWP+EzSYokenZ1AwDWawSHrG447SF8Jk0QCItM/SqbTDZHm031i5dXWcFrNxg5lb
bxfMppZmmxFpT/Pu1NQByQxutAuUekCYtVMfXZuHuFaWRBGI8IP76LdWnL8ok0qnY7ihA7k9DGNh
LXIZGRzAQv+GXqeNVgRfTK09uWlxW/b9Q6hZ57byoD2YWnUzacm0J12nQhYzyFbMPgXGnA96GoZr
33/rtPGY5GAxbO80xWWwRhTe1tCdXQzXvOYL+OCTUxQvs9SOjpGcihi7btI74Vn4nFwLt7I2fRzB
vR6jfR3n+yYFEl3zIfkxe4EhAQ2ReuECG/9r1A98A93kMsoSSUewGGudLADU1kvDzfeUlK/9pnkt
KLkeYMZQuvLV9ThQdsWGXf2moglOl3hiIhN3F0aZuEr3nrSPwTAuB4MOagakaNpj/uDnWAjs/gHx
CUclPXkuAaLAPRAb/FrVxp0z93uvp++8KNYuU4WlHo9HTrkIifI1hqXrNnJNZ3iFLu9f20zc+aX5
JWDSsyhy660LpjtbG91VUVfnqZ43WmYvKz5jsB5UKcFCgV+ylLMO8y8sPtNN8GFQ96ORpXvScNe5
HC+Fj4s8jdDPy51XlJTBcfnc0W8LMd5MxBhNSDci7FcagGJqbrdsFnceKImiSlFvxo3mKEKMmXx2
YQDmWrXTaDfKYm9NofpFoNGuhV5ukbvhcfTR1ewo25HRbmSmVJTaifQO7c3Jaw3/cMpG5i/FV9M2
lyGzM4bry7Cj9Dx/K8P+bgSXl/o6CFpMR4N4cshvUPi3MmyugbnLDs0LiaH7tnM3HFuwno8MWgJV
eG2ugpyynXLQt4XdLIMw4A4MNUVn3vhB8XUijc8TbkO8adnG/sr1qYEiMbrHbbYb5+ZJNzq2WP69
61ZPfkx5upxu++KLmKq3WtdhXY3GwrMUb73atEhsWYQurE/LyIpvrSY+l9K6Y7P51dAYmTc6XdPs
9HV9pwVy57faRo/z+9QpT51jPHC0WXghgwjXqRipy2Or9xu+ijdt4G8Mqz2g4XHBeh1VvGGjaFfM
w8SCA+znoS+f+KfIc4VYEVsaRvkm1SsvBgsvhlcCxljmtGPelftZ85ghevFCNtkm1lgk4iqsl2S4
GH273tbs5CP085eOoOxE+ztRPMo+qAoru2YnfIY5Y8HRzAkg+8inodEfyya9KzXA3citSdjz3iEF
iG7ndQ53p0ebsLwVZX6soPEAn7zPE2/nj+EltOa9sIuDDI0zQp2/EH2yKZA5q1A5/eGNDz7jsOBk
GeNzxcwcwm+/RAN9CBu6ypv2IlrnjsItfeEb7X2PX0xWzMGaWal4+Sl3ogO+On0xEDxr1INqLp+m
rDuajbOtqphv9sD5fFi2g9r0CPIH4qGppoNhlkfNtOOLFuISpLwmv28p81jOZndoSHDNjGglhXSa
ln5hLvWQdgURAZBCmC26ZxXnNSk0TkuK1xLji1vgzuvqp6yJ95TiXnjeUprSZNhd26MzJ3wvc3oZ
Z914jomqbwIr+1A0XY5anm2xCF3TzE85zeJsLFGbmWfuwsxFUtZoK53LpYS25yG0Lo3JXGU5BKNY
XMcIPnI4HkY0ikqDztamrx1ig2p95huA8p5KD503WjexRmyXHULWwfLMWSTozNtJzf8ipbNpE8a0
0tsk+rjGdcjzB5g6OKMZ24A4Tl10bDrnA6FA1pquWgrs4l2SLbV40A7CtLnXCWTA922Mcp9r3Xlm
RNI21efeV7ApjE1hPp6ljeUSw5F3+G5L+wvB9O9mPyxl1Hd4tqX4JT9DQ7qhaZo+EdpFL0ioMT8H
hk/S4/cXYZ/7t20oiBRMlZbN1vZdtP3OM0a4UnfJt2qX0f/UkPLqn8eSuq1VgTXs91f61Yb3+yup
3+S7K5VhORlzyJVM/ya2OS55BpSBfQk+vX9JSnf5+8v98t3j2wTjkcMg9vEfL2cSWvMBSkdXqb10
/bGOPov88+8v8atXxG6ZzbKCANs/x2tDpq+4Y6r4SqVtOmz7aVrnMRbgiPICzn3dH7gEv3hFthFw
aMFfylTP/enEoIKO5qR3yZV++kVikVuItlX2h9eEyPvz/fDDRdSff/cptaHWOW7IRVKmaV1zgji7
+v279qeXof78uyvIbmYEQjnglWCnC0ssKz+EhER/fxEmsL99GT99+lU2ZZUs2uQ6atYCeStIrjYO
s8B7dhjutRezb/9wxV+9LALGytdA4Y77Mx4ng3WSiNRIrl59W+sR9P+9F379/av61TUsCs9sBHXT
hE/x41sXOpbm+rJJccnF68Klb7BcDvnD7y/yq7cOxgymacsgb/QzGwEPj+clyZjy+TwL9xRzUkx5
GAThfdofbRKfQ3j7+yuqe+o/xpD3ozCPuP9c8acPC+oYlEJjIkiNmV22jxYbqN9fwfjxncO4wMDd
s6FMMhB3+b7+9PBpS1TjeDSKa3oiY7Fn8TxTCLp2buM7Z0nRx8ZfapvfX/PHS/79Vf10SSLyxUj3
VnqVLlgyZo9mwEOh3P3+Kr9+7xj066ycDqSQH28JCjZcr4O9dsWetDTJzPrdH9479e7//OkAOOBu
C/Ce41f+8QpVayZgBLT06nH0nXyT3eZLYkekRNI/vJZfvWPfX+mnBxwn4rJhpJleDRQ4/9YJ7+v5
D4+3X1/CoUkrAHMMAeTHF5MYmfTtOcquQlwc4mRjYi5QNv+w1P3qK8TN9u0qP330WSPjboq4SpJ9
pt0ktLR1g+yHuSHrrlq2zZ0/fEZ/e1kmxhuPHi5EJFxU9k+KjxnggSi8Mr92cls3L4O7rue7f3ij
/XQJZmnfP7aFjHhD4zq/IkAuDI1aoNT5w9v2t3v5/RIKigGQKmDO9uMl0nEstJyT1rXNP2vzHpHg
Dxf4263MBVDfyGg4DN6wJv14AR6dHhybubiyzyt6yBbpPgEgLIK39/fqv1NZ0/zuplm9dq//B3JZ
0k03r8Xb//u/57fm89uXX5jM+KlvI1mmqw7TVUoT4HG5Hn/0bSRr/IuchGsHzEN5an03kiXN93Nj
3beRLMgUG68DcqeFhqIH9j/RTuGscAv852n3jkzxXHaMPgkeU+Vwf7xFLM1kFlJn2cXQ7a45BF1S
6bgOClsDg5B55Mpc1LxlX6f1reFROQLre26K3bjf62G6FYqVoUZQnf+RqQ6UsUR+MCy7OepjXsZP
oYrPux3lzxMb12Xxnq3PgEvQurmrTAfyJwn8Mpsuo4ZrCOjaa8iNTJ1PdqxI7QuXRhOPHD8u4m2l
gv29P36EcfLFrby7ysIrnlhztYtG/JXUu+3sNrilXeGrLBuThqWCGZKhu+tq6LKHEK6AZluIc/oE
p3g0Lj7sgaHARuUqHEGkwARj4++ki9msyIZd6JrPtoIYDOVEpESBDcqylms2E+muwjGzDsB3I0KF
cArq+KnP6m4lnCrbRhnax6xUEEvpIf27NDIolYSsGUfg+l08MZWOMipFJY6BR2VKZWmV3kJ5e3Tn
KQ3GVWpMqXSZVik0idJqIgPVZkK+qZWOEytFRyhtx629btsovSd+l36gUwF6Qg4KlS4klEI0xchx
k1KNCNghIKVKSwqVquRXDSe/IpiIXaA718nB9jTX2AcZk+WNSVeVnLzM+GTUlr3qew1wU4pbFcMd
Hg7IN9ikYqqkF3Y0b3SnuMViSJEV9W2UVjTZG5idR6IHp1KHv0J92DYHr7Ak5X1uAu3cgtxexGDc
HBqhxlgcKrN5NrXslA74kGqTisEoHtZd7H+2oRhgZ7yhioKARtx5GVCaKTHXliUt6sGdOJ3PeDsF
0YhhnVUpMAFbhky1431fQK4bQ6YOWP79dTFHn+eRx26o4yOvAiakpdI3nUDEjHudz0yeGyWuZksK
btuVBRysN7qVV0wPkbISTp1wmJPJdDlNjO4pub/p3KFY+TjadmAsEnz0EYQR/maqdFNGLR4HqGWm
KyyRE2RLum7oXYoTudJH/cZzBpCpDTiXqYL+revd0U1GuWQKa66TvNVINJkv7mjAHZrK+8EbGWJM
A+dy0Xo0ELJtBeKxULxCED/eWxFGX/IS+wDfrmWXTmCX2dj0DtbqCdehoZM67dupWJc0W6iBRbDx
ufWJDUUroTddtAqdjq2c9l7Nl6RemR1E25Uf/rt+/JXBY0v3v6t69/Fr273+ff2w+alv6wdV0aoN
la+1wzZenbm/rR8ExYneEYBT+33VB/3vDN47CcEGkED9oP2OQvgm6aH2YcYhGPNuXn5P7v0D743z
vkf5Yf3AwMO/wjZVyXt4n39cP8Am6OjWbJN0LPV8Vfp2YdjDR+m50RZ0zKVS56l2Ts4AXDCGTIAU
sPKu/dloV8D438o+ObNAfsDuT+zHqHFwWszO2mhGA7N2ft5v3C6kkcvYUXC5LgoN546Gy9IynlsH
hE8CygR/ybod69fYS89T178xTV0PgbVG2oHVY1RnnpOfXZvZ2BTQ8NmWjLySot+lVbNrgoCUVEQi
y9nMZrrWmAPjdpAn1ywfvEHeDGbc01ZmJ9t4Nl/zRt+Yuv4U64zbvBCDUFUX07Yx8ohcLqEZ220P
ztjhIsTX3JnaLrAYB8bpfSiZuI2WBRu5Gul/5UjRwpzCGaDvgDXrRw6n5nL2B+rehCEWWuFdAiv/
Am6i2k6ELGCIZTibp/AD3t2veUUKWhd47oiQnTPo+6skos5DSMibceU5S28kxOdNPvyv6RA7Hd2I
HJ47jNuHohYrVsvbmDDkQvjBgZohNFanOyNYQoXpmSuPtwloJDDWLFET1Xf67DMXJ2StmeKWR3Sx
IAT6nKbGHY5tUjSApTBLWYAYXevDXCTPlDOuhhwNKvGBy1tJcmISc0xr/WvbUpiXznATzaSf1nHr
wi0Nrdu+ix/jlN8/Ip9IX5Jy/FX2jgZaNhbCsteY29/KNNtrmGoGnEjMOHhUdgb1FgnX0cd2MYWQ
3EvB1mMq7saGOXBJFTa+xn4bRZRq1wLpp5uoChhSfi4nQrUyiszeFmV/oR/j0TFCPve2x2061jxv
q2dgZidSI6cmCZK9Fhks+C5AetsU8yKg6ASztsWTtaNKwCopnAtONaVIDFDhbkRtcoME+8z+id7J
nEWyT+hMsOlgG/hFB4lR2Mjlrjb0q2lSougMxS4zwmMT9ftWVA+9JrdlKxi5lxvbRe9g7oJXrJVQ
51xgnW4e66w38ol02FsrTfzJ4xaxF4O6wOIkXDoIJ17V5F3LemDbE8h7P8s3VPnV800nzyGJpkkP
9tEoLoYjrqYMd/TFXLSedJ2cJOY1YvQqZt+X8bwy5yZfuGmec4NSd+hqcUi0UjUH84+KwgGW75rF
crB7BC9dfqVVPYNuZnlrs1JfVZLcY4o5FLnOS8ceAk+dLlXDy9YQzj42amc1h3bRLIggQjUTwbjV
iDtAmrIQNZBINoHmQwFlmYooJD6UYZZuCmkTSO1AZ2L+Ki35RFHX59kb0nXZUn4ZWcOV3nfVwOdi
be7IYvE4kkCIemESj4vy7sizp16lPljQZKxrOBSQmBxRpO7G6ivXeZDv/fIxaYhtj9Ge71ItwE54
5JnWfq966X1BEoDwA3CPHWFmKFCNhWBwo4li6u//6rwfgkazjv3Y09friDx+ambblJesq3ZlBDqg
SmlSKW1wl0niAPbS51ejie7a0GITAF/etkW/abRm3Pqae3RY/1f4LzEo5O5nsnAtsoDLWS+1nzJG
Z8uYrQnGp9k9WCU3cyaQEfnr4NGc8qUK7dc4pdKv81NM4zPm5SCWECBKfWELNvW6rprnu2ZcIvmd
JxTcMQnSTVZpZ1s0t1rYHwu/fJHJ8HXWrOUwYmhvDXpCooqNfWuNh3jaO7DA2ddXr0lW3rl01iOD
O+CzKADHkTfc62Z6E7bBSUsn9Hrz62zo/CuR8zWTxUcauFbafDCnMV3ZTrMOo+YuG3n06DGVMVDz
8mMee2ed5slVMJbKfLmPLQvWKHrrkoYZdvZmceN62bzClhKtdSCOJivmavCcmdax/jxTqxw4ONh4
FypI8jWm/hKzFHtGnu12tfIIZ6/nhtCCCLUPXbaanejRbNiL+XYarmKN44yfBQMXx4kXZMHOmgMq
5keMIhZ0EzIiY3kpxgqzRTmcKp8aSt8HMhEZ3gWB9IzDtFiO5KEDgYujaHdR3726wUBrsszup1yr
11S2QVgLWECcFNW+Z5rbD9R85+Uh1QgfeP381NcU7vCto9y3I3hOSx5l32X31gbBAw/oDUTmU1bE
Kgtk7ay0fKglALKEDKeM9H09WFfpV3eBU35KWOgW1Bnd2Ow/Yc2ExKrtcBvORrN09GYfQVPkqUsz
jekw44uzbB84k49phpy9b9bb1kmGJaaUS5b0V3YiG2F2H2Vh7BDl2Vj32GOm3h7XmV7ItW749SqA
ZrjVIv7Uk2m5cqFgAGM2tq6Ji7fjDUXvzS8EoNIF4esD4ZRmUbvBwWvHh1yU+noqWQR5ZAGEnKOt
NhjHXATuEtBRBLkd/x5IzatrYAPV2grVS+icY83cWlCrjrXOqkNYedbetpMr9UEfNYBlG034JFeT
kAecM+zmwuQrgcBvNnJe0XBBULscP4syerSc+tIK7/NsW59HV99UrftUZhEojsoljJPsw6J60kt/
x8H4fvDNo5USzKD/ZqnnpC+b4VVFonvPfAuy+RD1ye1MpmcRdPq9sNVDnL52nvXxX1O0/45t8Kr9
ZttNMrB7o6bp7xtv9XPfNt5slA0awiymwCocyPDu28YbBBnECQ+fp+voZP2+bbwt918Bu3VEdhJv
KvD5byOd8y9ITwEzfxu7O4PSf2Sm8xwOBD9ObaDasYfHRQ8ahXHKTwPXospt1EWaaAtrlptKDyFQ
696zx2Gz9PpHs3Mfsvk2VIt3bazN2mdrFT2E+UzvrnI5VwjetZjO2Gkj7bM1ZA+FhhXBsFQgvRGf
3A4PHAiafVWkOz0ShGP6EnteE7KkcKA2deNFY6f5yeh4ZllhPqyJ9oTQXlOgjo2740F9EAPiYGrF
jwWOCTEFzzOuirzyG+pt61daN2+D2HptXONplGyicNacofCV9FVnOFTr9Nj3WNWcopSPk+6/JHAG
j6IywrUxOEDLqvQh6/MXffLmvV1gjWmpHnL9eTfX5otsi5tANOxFvfug2Wazvq6DkrN8Ojz0cfLs
J9pu0MvHttGig2dWq6C1l4WQN0ZKm1I+3YxTcqN83MDRFeM3/lLi1CUxCQDUHW4CZVkuE3Nvlxv8
hot4wpJj3quOEpxHXfZcm2ys+RW3aqvLCEquchu/CJtvDv+piSfCDhel07bMmgKxDGHcwyY/uUU5
QCugAThM+vVQpjiX3BO4y5m9X0yWL893dZl/aVDsV53ZMlJo9G1Db/HSkf118gMKuPHd6KEU21jg
PUqw5+WC6+WsyA6nqsBrPunzBDBfR+zy51WJ12B0QzaWPUjeLrnkVXBTVPbKTR3SmVN6GiLqsam8
YcmEqGzjZMp1YvZCmaEj3ElsZaWxyDOak3KvbZdJAvIj8SputgTqQFdA3+y8VxxvLB3Qk/oW4xAU
KuXXvB08t116BiplbX2eTLgpdp3eCYOcaMwnp1XWgwPIsi7yZo2+4Z9qEv25X56rdHyRxfgxbttP
Ve1DQhqmcDW7LhGxtGci0xDGy9JuL6euXEm6/th5KzInRIwkLm7D1raWmRx3hdGVm4aQ7QIX/LCg
mdQyk5TlAEMZRCjqpC82eJmMHIdj5Fiq8GZVEjfklFv3MFdeKEI8dsZwLmdTLjBeHqDMnvSi3JsF
5Ixcr6g69T+lbbQP4mjr2iYbaL/9MLTJfdVrD3gB9rooDz01NaXr7jM9umA5fxFt/gDZnjd1Hk62
1Rytvjz3EloXhqLbnL7uMeRMxT5bzMOuCsq9oVSXyYb7Fx8iGz9ZM1nHilKsodWvemznm35uyNl1
T4NHTq+1Z6KE3aXq2SNPs3doAvPOSapjlsidnU0Uz+ZQKVJJN5fenKPKwykmcZECUcGXet+W7SMx
sGM4puc+tqF+THdCz4lJ8KXP8pg1K3mMMm/rRCVH3MTfw83duhJqQuJ1Z0sECqViMSmM9viZbwtN
ksTQ62XcN3sZ6E/6SEmPr+cAN8z+boidE+QKwngefihkjSfGljuPRopq6lbmOBNIxv1p5e7L7EPw
15gXBkQTE/ksYHm1jv51biPK55kVzjj2Ex39dOHN7M/vTIb+y9wfcnPjlwBNJg7qB+DMVBS6+RGc
yok4xH7selgnHGLjOL7YMj+G0TQscA6dB44s1ImLTzLpaPpp8htND7Z1Gdw01LVh+R83Ra3To+EY
HxOjP42G/WhlGuS29H5WHyEJq0+VMfJtjNYwvo5GpD2OurxY1D3oGcxX1wPQPA2vpkb0N6kinIM1
qdOOz6IxnI3oo2Rb+8VLZVnnKSDyTZsutd7pFkzSAH7C+Igd8FCDj4hj5u+tdivJCy1N+4MX0YSe
zJ/S3LsH5hKdhFNXez0K76pCnDVFSQihC9mz82JU7tYzVYEvyZO0o6VwaEZzlxHjNs3oLSMVCaSy
1I+TN53IhlF2YVTOhsP51qudBnxbXJGawqPoRvquLfqndkjua+LtUx99CJt2JzTi3OPgfxRDsuU1
f4im/LGrY7kf7WuW4dPS5dJMXc7wxbh17PIydNGHRJ/ble/KnUZpVjf7+6Z1b+fc2DVRwFtjXLS6
EYsYN6DszfuMkSjbTsYTfqPG2sZwW1nuuc1Z79cMWc183Q918tEpko6Hv+sdTYFxt/BzuYlr6C01
zuTEl3w7yeVjQV+4DS+JEfCOkOTWi0RwJb/j456VYj1rhGlMWdOXKQnSyL74JNnN2y5d8awwGJTJ
yq0qUw1pI6SEbhfGYIhHdeouZSAPaT4WBH+mr6JpMZpD8s4mqsqstDEWTId9aBb5oywjk5S62+Ai
JDhixK2ncQ50acsqohMaT3URtdE9pYbHHtiZGw0lZXBu20HM2O5mptdDbgO2R/oxkEvmfDUb2glv
+4ESi6vpAw0a07Vnzh+LOryL6ubY1yYzI0sszdzv15yfn8LBSZW5bd0YLT1T2chRmYiM1XWfZNov
jcx/tkPrLAeM1gRgaIXcdLRy0MD3AZfltPK9+JUn60fdanYkAy66AxMotY5AoRlqx/jwEpKurWY9
VbNz9JLiTLetRSq0gFaPwa/CndizRANFxRzahJeUcH/OubNrs2SBhrKvIvfkjMnOaOjfzKp9EVDI
VerZKvFgoLipdRsMxT3tITSWTvT7CfFBUKrGhCc7ErT+H/bOYzmOY93Wr3LjzouR5SsHd9LeoLth
CMdJBUCC5b2vpz9fkqIEcVPaV2eswYk4Edpgo9Fdmb9Z61t7IbSTxK1NKbQ1xmrf+iCJknAfuNUx
gP/jWCaNh36oTW5a0wMQVH7GDL6Ok+Bm9KkUJsSis0+8Nr44u2rfwIZdAchZNnzpRgJiO5l+JjKB
2aDM94WIbmtmko4RLaUF08HMwGeP4q5JNNXDaBrUH7oXN6BBHTZ+j+VPMRc72WzaWN9lnfHE/n+Z
xvq4sTVE9+ybKC3ILsnTitM9eQLIwzqJUcPAvkwmSAS6ICWnMH6Q0t+a3nwtemJsklb/OA0ss+Ly
sdAdgRbaYC3QR1/8uuiXYzx0LGfM82CLsx+Yn0YBQYtd89qir4sZm8lIyE0QECuczG/lZJ/bUucd
DwjcHYMvS1AMNp0yVIdwKvW1PznepdCLQ27hoU+B1IatuEkt7SptQTJqgblpGlwCvh3iOWxQDIaT
82wPSPElJw3CyvFqHD300EPxONrzTak5z4YR+5syqp6Y3cKEdrpN0vRMnRvetefrO6mOngrVdl/I
cBfUabxklXcqWQslgcZEjFlRqQfVykBRvarqDHf02FAiMk3FL/h1SqaV3ld3QTSW23TO9vjkmT+3
Hakm6ta2radR50GLWQqt6hFxM2yds55EZ5xzSyu2wr0bzs1ViWCWKZT5yGAqOAy1fyOb9BkThLVT
jzs5uOx5cm5zhBfmsxfiKSytG9gZ0ZU0c1rTch+U4qMBXH0ubIEKm9mnKFYiS66qQNBoElYT2NlX
RsApZ7mBgdv7mLQgaXC1JyAw+hSUWWO0T5Ne3cqRmUheuudYD84ZhszUtaYjBMuHKpXP1mjeIkos
jrYZ5yDaHSiUrfU8Z3IvCVZdxiKCO9DzD2uVDroswtUJeWnHBBHHDAYcohqsTJh3ox4btBF1DaHE
SyfLAD9hOtra0CN/jr+3vv+/7EoCcaQjHbK7uOPxPX1L3XonyjMiIUbDyKNLXKKHyE/NPC6kdfeu
rbz+vgV5TwD6825dpe6oFyFvC0QmSxxXdXHvXiTxCb/WmiZiALvX8pMge0izPrbD9+3ZX74XOtF3
zeBvL+Oyu7eErSAP6td49zK+EJIuQFC4G1+H4l4z/4su9xf/votCQBhQOPlz/fy3auTkFIWTpZd8
4Iu283xWWr8vvX7xZ/rVv49Khb8QfyhlN/vz7x+4CkpiV9nFo++wr+3fCJ9/+fdRKpc/VlT/+ff5
qVkm01gHWcPfBzK+li0T/K3uysIb+5bGq79/K794KZLqyJUkzAt5mvzpo0g9GBnDXCQXEe8YmMOU
LJk+W0uuYdIt/v611K/909v608fCtOH9xy70KGPLlqaX0lzCnCD3l0eLM3XqN3//Qr96U+8//5/e
VO7GEm3x9xeCBEN4/BhuuEfUVVz+l++a+qV/flNSibM9bkeChJTS7N132bRzo+DizS+NufHTl35c
2/7nv387v/q6vXuJn79ucwO4knTi/JJ7L7H/bGn/i6+zQmbDqEdFiPDnz28hrlIWEezILjEnINCS
dPpfHF74MYWjJECGSdznn18h13Lqe0cvLrP7MrjnTlGO2v9ydv3qQ+dLjP4CiCt7OWZc7z8IEmrK
fPLm7ILtBAOcB2XIvunJOAMPZf6Xb/IvXssDBovC12WTzPzpz68VkuVmytjOL6Hqqdfk7obTmvln
QY11++3D/3fkqYRdvx+6/6FUO7+UfIu/a9f2X/7f//0NoMbP/D7uNBAT6NwhLhJoC7X1u3Gn8QEF
tsGxRjolQnyeyT9gaOjX2GcxJWUM+U3d9mPi6X3QVTongbRK/iZc75/o1EyhDpk/DgZ0amqmyimE
eRW+GpT7P39H4Nxmlk267qUsGyw4lBiLWqJ3Ke3pXo+rra+UQYNerfyyexWdD81ghEg/WsfG9lPo
TNq97KuVsKeTPWOMsbEJGj4uWBFEF4eQo8n30DAE+pL23FhXWNCSUZ4GkyS6rNh6gdx1sUFDAZDD
c5ij1kEe408c7hy76ECZ6m+akx8xYKPw763g5DrkGGtl4i+8yl5PBoAd4A3bjG2AsAd3WRreg1ua
1xT+FxvZ3aKr8x7zVJ8+JM609Ud2/ZMtb9I4uAsoD3MbK95k4+YN0kKgPLLehiKIT/PclS95y+tM
dr+dtRokMQFkKLd2NC1iw2aSkU86hAxDItHiHCwPnQgStY7NoYy4ckWo6DJK7Y2s0leWD6sWMwET
rmbbVTXuoII493EGNuSKcFMMyQ6oynoMWrmsmnBVW6m+N6biaIo0OuhEjfnMeklMF+XST5goJgVw
osG5q/TIAVtet0smx7wLWVsXL3X2+dCJRTGzQrYbG7CrK88OzHYzz9tl0/qfmsD7GGs42SLN3FmT
/0aVwlqGxb4nnWzVMNJFZg51RLOsXRH6EJOTTHxkFoo/b7T39HDjygrKW3R1O/zF7jK0sYsGc1Mt
C1JM0d32giWpgljGchPRDqznMJrWlQ87yg6Sz7VOg9ZXOitYbTZuZaV7OOoScO5E2xA6F640RIab
fhAy4bg3MozIfr53Os3ekbIxLAfNS/bgeFeja5HfYVkma0k33raFnVa7ugkK/84jjeyggxMOtAJ9
jJ/Iw6xYwzrQYfI5PzKurTnmjZ2lle2S83/dhJ297j0K/j4vjjkQ40bBjEdWYxZ4YzH2T6XiHQNd
e+gUATmCQbjsgSID5hBrF0xyBy45U9zkGoDyrEjKRYFuB7Qy0DEeCe2hHWAuW8CXY4POxQmsi4s+
sAPPbEfoJnF6Q2xOmm0MwjlVLGch208zy0z25fdyZAqeQVwJjAoSmyJBx3oVrWtFh47C/EWCiw4D
bTkqfrSQ8pQDlG4VWXoAMR350T0ZV9Uy0IJwEYOhNqPyoQdLrQEvWdSKVN2DrNZ07blXDOuhJaFV
Ua11xbd2EusThoRjo7tf3Lk50nqfZ4DYpLZa7Hjty6hY2XmdbVPBfKt0naM51stacbU1I7xlLYoI
BOS24X5MtLU1eccSFrdUUG5f4blzON1RDxWnTdIbUAQagLb6udRaUDrAvRllXYc2VncH7rc5kHMH
B1zTnN2suASEI2BQrvHUgSdbpNDDXSkxKCcXMmCWncWnbuA47BVwPMnmT1IhyNusXkLPZZRGSr0i
lJMretUN816CLseMDsNc12G0QDUvo/iuTe1XqXjn3dgwMa3ch0CDha4rKnpdhAgzwxbdKmfhQs7p
uG1yY8q+u7j+vXGV3u6vb9xL/ZIHb7+4c/mpH3cuAFJLsUSRc3uW/k0A/mPFqHN9KvuObTgeJZjz
7s41P7BEdGxEfJ7HApDMzN+3jOYHCF0O/8c/a3NV/yO+PmvEn+5c7m5ub9afkLowR3k/1YCVQ7bE
4Aofha6OYmNOE7nUiX47amMljrnbIA/RxNR9suLwEPnTsxfo87J0489mb+uMXrjn4BOxqVhXpoiB
CZHVO8YR31uQpcUD1CtnWsIraQK1TOK6RJ9jKMx8/WKlfvTWdsKvN0Zuh7Q3HAo5c7mcbcMmhHBa
rdu0MeQyrS3i8+oYwz40S8lpBFhQCYp4dktkZDG5wqi666+aF4wLO4HmZ0c+Y3BDfvGR6aD9hhmp
mZz9wBIYvE0BbIAaMzJz43IuKCAEt+xwo5vzVdhLZW+5sop0rwfhfmQ2gRoMSRTTUnsJaLpbGY0V
XpWWsxWldh33bLNK3zu2ZRgvncDLlwFzkau8KeqlAVB5PTkxNM5Si1du1V3GtrloyQjTgAUOWHE8
o0UxrEP4rXLBAUukR2RO9dfEbO8gnt9R1AFC79M2v9aqZD6ZFnzGqtygPAifSO5cuq239AmhxrYL
c8kswq8c4PHSKBkaGoXHrLBbycnM7jTHHjalx4zSrXDi15yLgCDlrgTOgvp5JDfZdVaGnoeXPgA7
FpVgxEwgp+2ooewZmNACtmrEVC9M2eWL0qCWirQTgY2b3tHR6XWldd/AMQe4BAZjSr0NBVfEShj5
C4sp5PJuSVJwR2GlaxQrixwG2rKZWEq/exSvv5eN7wcz/9Fl8sAp9xgFAn0Uhe2fi8lYhINIZBOf
DRGWGzMdjJdw4u80wFv6zQb87/mnGue/Pv+u0y57af7z/FM/9eP8gx3InU4T+83+4ngcjT/OP4P8
NzQWrrL5cUKqpKsf+W/ig8V/0j0LWcRvp+aPnkN+wEqD5sg2gEl8E2D8A20zeo6fzj+aIZpS1M0q
oQ5U4U9fEysMckLbJv1ip9hHduj8jUXlVckp9qHZz82NF86PPFsLo2rT7RDIR/K0m0WGItKmjJJ+
Wi6iZLzHas/xWdQ3Tl9sJUrfDkSbk417c2xWc7ezY+25CIKDH2wAplz0WAYnKlNv6diTXLk6s8mk
YTPtTPOX1EJxBRY6WcB0eSZvDmieqbUba2if5yLbDYYZrEy7v46G1lxXpBXx38Vx7qF3kvl0Qi4O
a8lNH3Ktm+APibeobL4Os/HF01jJFF0SLmtjvMu8ccAiA7ls0h4RKXIGzEofiaiwn+U5d6bpqFnJ
LXeEorNgTxl9TjBSw/h/mq88xYRxzIRs9foKQIMBUzfCZ+FbxioLCU8HePxZJE/2dI36F28LpiMb
NKOj/Ne+29arwRwmi0wU+BVcDiYlVElsHYs9BLsvekS07joaMSKRDhUCP82THX7Kak2QGAkD1liu
uToGJIxSDbIJIhbTlLDY72tCqiLlgQmG9gYFAxrOOa1v+sKMgU1j9y1daksDk86iqTmCw4rA1ixP
MARVqLrmmguKpI+1VVveAsUlBLgutMkcAG3oS99maTlMN4iDLEAqsVjFA1EIhVMcJBuBBUHm0cm3
RbwaZNccQmAN27HmwmGcj6ivQuwNktf0t3rSfTVk4W2rsOqWVeIHO93RXvuWjw/yV7UGmQvBuuKs
jBC+7CzhvEmtsBddNQxr1vQG/bG1JyuBwFg7Tq8J4UjWepMT+adN0VpCltxaqQn0om/srRdWb2js
5RY4M8i4Wkuv3bkIDvzlSBf0h/zFQ3uLJjcSO18o6bqAR5sjUFyYepvUK91FW52RcvhaTtj1CyCD
i8am6mw9rT4OKB+PwdDV5CMgClKRINsSrjZq9dAilNf+GjFPg5YUIjG3zC23CMNyMWfIYmQZUup7
1qvIwFaA+aLOzyIXaA5bkqq0elShg67xW+YOmucufeWZCw41/cJuICijXYdQWcR6NL2R4p3S+WsK
8HvnEfx4UyjVL07j5tj6M0kZZhktazF+TDU9QOWS2ovclAmKoOoBDGWwFLMPnEsOBd3XiOameUa0
+JiSLbHwPck9nc3gxTLcRLFwYfBO8YOeF9dx1USfJsna2AiDkGW3BxqqZCU0dzdRjmLAdkh5BHFW
7WXnvIVp/4nSZzMEHuBMqX0d4lYhsaNnAHsHlERPozO4W+i9CNizWh0i8sSfYt8l8mvBc6qpO7TN
vI/Cs68rPTyUJBUs8ro4u8L6bDjykTCHcaXX43U7197eq+tdMTd3zSzvq9Dx16KlCam6Gs/bFC1o
xKYtSRaIYnJW/R4skYGbufbC20DU9sINoFmi/a+ONoLlMQbTPeTGLirCQ+L6F88cTtpoVsra4fGk
4KnCvMXeMkrh4aACeY29PP/kJG28C8yeTa3VmWzipHVwYA9gqUDYbNnZq2xszizR5ezAquti0O6c
plEA5SQ6BKz5FyOKy3UyDR6/ktaCwYIxVI6cSX4xBDcZG4hFw+Ny06mHZxa+D2KTF21LFMkxSe5b
AXz+Ng3qcuUZSCU4YbptE2NP0OxRbktLn9ZzHHqKkZRywrjTduymeO03kckKObPWco4hYtf2V8rI
eZVY8x5NxEWgksnM+AoLdrY2B2FszQEstilKf5MAb9uEri22KVLUlYUVbWc4o72KS1bjYTqzsI2M
rWEqPmrMbxtmPLVEusDnziHjUWAr3iKnlACJuh1y3qld97YKrwuI4tWdrRYzKYszvBtVAD41zxhs
cEx13+e4/5Y6qvz461LnNurfWNd/+UW3p37wR7WjWx/UKB3Lr7CoKahJfxQ79IEOJlwqGlotJqnM
Pn8MWKE20hfS0TH4tFQz9r7Zw/iFp5gKXwXkgm38B8XON8rF+/kqglWHUgfogUOmm/kzbCU0cnbi
nUlKQ1FVpXulpbCmCPyxRJOhrbfi5CI7w0wQIvnErrBSnjc6xH+X/Ta2VBBq6aUrKo2zedT2tp2b
p46LZjUYTX7MfJndTSZ5291olVd51Baf26AdDkY2JHeWPsCLLWJ0kO3ovvlGxBzP8vyNHtcQ2lx4
jp9CwU2O3gBAej2QWCXTbWLow2pOc/sVQq7+VTOj+dZonKgDjoUrOZ/0FPelpKtwqtVoxAaS+Bhd
YohhNMs6/6NBrXHblVoa3gmCs4Jmm7p6Ne8Zu/loSGi/ydrW3TwweMFOoBxa9DTtdbjigCmmF6hk
/U1d697A/LI2rJU/Q5A7O05JIJAdVfG9Fs820p0+cV0MpE5Vo7IwQbPbPUwJ0O3m3uqzdj1Tha7c
uaULnA5eWxKxqlpe0dfSPvaqG/a/NcaZ6pHJPqZd1irVOk9RbpokSDbxfkIgJlfFbN3irOvdnaE6
8IJWvI1Tjn8HetfJRqq69yrCmW7nmAnehDB+NpchX8zhlMl0yrXvjda/J4LJNvavT4S7l/z/HIqX
ClrVLzogfvTHmUAHJHVECDxzP0+A6IBsUKmgIRChWxj9/zgUiAHmnDBIn2Epb3/Tn//ogJgoEcT5
/R/7dsj8gzPh++Lt/aFge0It5RG5W2xk4A78uU8GBJVB5Jzqy6TxiJWQQ/SKOWLuxQy3w/wSWc6J
5yk8O3aNPcSxb6op4YkLxK3pW7dJjVuPoQ9OnRAVKflgrr7pze4qweio9ejOcv3Kywk2M9yWsfj4
ion6SsBcXphdduYk3fiBe9WE2qaYtBsnDu/dKX/EXbn0/OrNowDn6WPinu8T0j5CMrS5Dc09NswH
pJJLAlUIVEzPHWpn5KTn0SWcRjrjFSrxrU0jgDvn3kaYh9EjXqf18Cqj9uRT77W1+ckM0m3ftofc
d1jvyGNvVWc/DM+S0DgJAT4Iy3OHvscsUH2PxqNrceWi1pTTtNCS4hLr8RnO3rrv5Kpq5lUo+mcZ
Nddh2J2CYVr2FPcWsin0qufaoGyRXxsEuEALhg4FbHeYpffiAyAk//QxjntMj/jx7IZshZkbPV5l
5bxwyvpuaiYG0mN0AVe+A9mw0mPn3m6y3Tw1t5nXvubGeNa8/MyxdtU72Q6e5SGrp11XsSEJSnx4
JVkriGIBUpuBdeuGbrmgHdy1LtFtVjqckg41oT5Vx8pPXszCupWlswwZ+S1SMow7rb0KjGw1B/2+
hhqI9PA2luNeF/6DpazyWHEdOOmLCgmfr8SioS8qENrVibQ1kLRDhZ556vxVETkvbo/su6xwuJVk
ogVj+WgYtADZML6CTpfYeWo0wutmksNM4eXV8Y6rI9y3BZP7izXPeOJj1JXmFuwW43q44DiNUU6i
AdkWVYdxEZ9TUrTlIQfcuWwqplF6qpsndGI9jkcYBukIdUBy8q84N+NbQze4biCzoo7dxTnWZfZ8
0Cwjxp05IP2lnndAL0tyeFpPxATCDNYOCb6N7na6i6ypWmGtY4Jmkp4yd9i4SLGhjwyae/ZhOP4d
evE4JQLYw1k4x18H20fipRkfNcP/jA965U3WZcahbNXJGYrCsEpoK5mRvrHLOFEVPmrchfGp7lpY
w5NFx1hCizedYB1lxY1REI4Dc3nFUq9FM4fudw4V87C0XgNMDQtBONKibKpuBS75THuMsHOMv0gN
ZVxvddmy79kiJIb3FpTyUz4Z9zBn3vj96e8K0UA/MNOVWWLXoDgtV3ZOWiirT9SkJaavtEbeHF36
MDuwmniwxulr54pDLL0DES7E02gIkIPwIZqRIGZpdZ78ocLTSSdqdJpzKlIf4VGIY45N09oIe/DP
FkEMg54/DVyxq6bKvmiFx/JpHJQANsg3cTLufS3dxgKRuZx7hiPsohAPXiLhvlIav44WcoZ6zPje
us7OdECRumHKwq7WGOigAy8pvSvT2PqF8dQi811wTLHyZBEZ4HLvnOhpCkz+cc36HPkVbjAmM/DZ
X7WuXjUG1/PoC1w2/qMZsJKaWEfORscyDaGp2WnGEt4KSY51+TEc8JKJGJwePgzUNb7/ZKqQQ7/0
Xb5f5obtNW4wOfCIRsnEjo7Hsh48pIem+TUTxrjt/UAuOhTWUUIc0JBVexTdDr9bfyi95jJm9FzT
3NG6mfshFOew7TFXikM7eDgUNIblkYZ7sxPjVRKKuyFoj3YeftQnF5I1dt0cUu/CswZz5YzaVcT+
jwIrua9Dix4lK91V6pZE9YRhkm/qoQnCpVaQgUGIlsCQ3Id7q6XJSXu49sLT8JIzNZpygr7yJis2
Y2ccyM69KTMc064+pjdR0UfLb1fwv7WIiV7m72uRxZsqqX9RivCT70oRan9Gqug/VBdC5/KjP6EU
cTAFGxC3UDQq5NDv/Ql+N8gTJCT/GLj+votyPmCEQ9/EYYJaQ0Xo/aNShCLpz/oPadi6oD9RmyhG
vOq/vxOGNd1kE2rpaSBSsniZFvteWYnz1EGaqvw7iTvtNOXoibH2CEa65Krh9hmw/ZBAXKxSjECz
cgSxtYiXFGTFwlB+oUo5hyIsRPQtDwWWolJUp4nKnEPBuyqV68jCfuRjQ0KxsM2ULyloYdQop5KN
ZYnNxhIdXrP0TXEjlatp8NC013H9KEb364hnfxMP5V1mxPeunrHPSWZQlpo7rzNZPVld2a0ivVxl
CTFacVDi6Si0DQE1HUuQejskGhJd7N+LpssOING5zdgpY4JBa6+t/NH6VKa9Nt0wZ/T6DYDjAeJC
oRgtMJtESXIHpImVxC7PHkluSgV66RXyxVDwl2oy173CwZB3fd0pQIyEw5EpZEwn4i8tDBnGfRIH
nGcvzPac9vdGU7jQZ4DOMMKkdoJD4yogjQ6ZJlaImlEiJUeXztVa9EfHb5pDJfJXLHFxvcLzjlvX
hkBErZZZxk2VBAkDXhcew5R8FGG/TlxuQ+ItxGoU1lNuFQ+M+wpWcWNxJXLCvzRXrnNXXsyg3Odp
cW70Zpvh0Eqlexht/4k2m2I1MSdgq/Gmyy2x1zuFJ+J9Y0YYcZ85CJ9FSvPD7/PoBW106CMWYkSA
gbvXfRJQOZMvCNM+psr1wQkHaAcjiPXNEtIqdwhYJDT79TfTiD54p9mYbkQDzkE4DZNy5TGpS3Gn
ENS+cp/MENwr7CgahpkKe4odu3scmduk73ah8q/0GFlaL7uMEtvmaEAix+piZXzydLxhbHfYHONH
G0+MW4TbAY8MqX3BQuKaGXHPlLhoatw0Na6aqNV3urLZ0PyVS0dZb2Y8OGM/YMbRseWM+HMcZdTh
I+fY7+K3mLKsr/ndtCmwYSlh8HFw+iD82Zo4f4ya8bayArVdeprxBmXKJDQpu5CpWXdRN7zmWgOg
42Pd6fpSVvImwGdUMkTLy/mAy/NByHgAs4wnEmcS4XcMUllIRE3yKVPmJc1lVqfsTCa+plAZnHRl
darwPElfL9Yio8Rx5vOAK4rkHKrC4Vg02qrANQXy5tUsBa5Q5acKwsuAv6qqh6sQv1WqjFfCIPla
WbEiXFc+3qw4y8+dMmuB43ztlX0LicaVVIYuNFjHNOV/htNrUJavoc72Hh6wXlGnlSlsHLGHucoo
lnzzjKFqn5bONydZiISayBgneI7xmeX49fGf4zzTmh22uucGR9ogCd7GoRab3qcWx1rWEdNY4GEz
9W7Z4mmrg/JpUiY3I6OkGiznysP/5ukVdGZliatr8ynCIzfAkk6Vaa7wrBsTFx0auhtD2eqmuT/Z
PUa7EcednzPilXW5C/HiAWN5jI3kiqCBexfw+yKNxW2Le88o01PInDIR3WOSWXe1svll+P2sjEdN
1CdyKi+jMgQGExOgGI9gatAR4BnkS3IolIkwxE3Y+EihlL2w6/qnzKhIy8Cq0ONALHAialI/asw9
F9Wg7S28igLPYltX+wwP40ANJufkapQtYTPzDQnBbKNpE0A6HMeSr6yXISjCF+njj0xItbAqe9/i
m2ys8sCWZa+b4UOPr9LGX8ksLmWw7m96G2MFDswEJ6auLJkz3kzfIKMPr2auTJsN7s2wSI4AIz6N
uDqlyhBFC7PQi0osY5yfVh9tcpyg2JGPEc7Qf2sTigjmBow5/6Y24eEGctr9Z2Wifu73yoRdMM4A
JC1KbGqjJP2jMjE/uOhDPPo+NRxV0TU/1sToWZGt2MCD2Wiix6ae+W1IAgILDSkNGmxcwfiFWuIf
lCZkGv1cmlgs3OABCKawqHUcpLPvSxNC4shxrZ3ieqwFqIuemHmLtdRitoZd6FLj99OErUoM4sKb
EEeRZuCdHBxn+JhF8RQBeD8B8R0XjWlWUIcda2ePXXMeEr/8UrZ+tnXTProKU5cnMkCUsyylhgE9
A8d03dRZe4HEZz1rwmk3us/QeMkiAf9e7ufnhIaN1W54O40pAd+6rh0MSHrb2XOy+9ab7GdCQ4BS
GHZ3apvQZZKSF9XC7WD+6fZUPJidwN9uNsZbYXfpE5nC+S6wGUWQzNK89IyzSVDworVby2Hrxoxy
u7AvbwbMQCnn6yaIgnLVcx5zamsYfz7jcA2to47pYxo3bZF0W31uO+3NCmQcQkpPOzz2fpPXFzcE
3OQG+hiSryLhrQwdINMZHIg7nD22nRjdAyscLfZzWMcg6vXloK1sbFPR0dFyarGoS6dXDMwV9Q7V
j6z88dkZUvNl0ly7WECJyTdB6NiHqaNTb4difjFtm+16jkWIjSV7kyhgLeqXffDKNylaEh0/v/hN
OL850fhUa9UmD6KD5hbkm+jQhQabg1Yrh4AEcr2btslEkkOgt9NVUoy0xq1MwPCSqZEyRA+iTZO1
JqdhnyG5TapHy43SfSr1exNUyq7UCK0NVbqczaCA7Xjj3Hlhme1brZX3lKrOeZSVWGVGQZAZGmPY
4pjh4ECl8lVzofqbaUuExZhdGPhqq7rt6RU1rRnXQ1rBqsRBzvxHK5r9VPo523yPQQm8oE8BBJLV
LN34fgSwdOUSAAaksYqfdWKml8NM/dAkRKjO3agd+fLS07rM9+Og9p+wDQz3eVxjoy3G6E7DDncd
9imCSfoF8vMsqyfasEHb1DOCb0G32c0qYGLnLgNGPMyuAaE4JOqlXLLjYN5ga8WVJwpHfyuLct5U
EbMYCRqBdDfq0n/P4m9nsdLM/81ZzMx6Fb0Fv2oT3x3GuvNBeDRiv4n69Xc+AdZYSG+UccdGMGO+
4xGa5gcU/KqB/KOD/DGxNj7Qc5pQViA6Ay3/Z33irzSLlokhwTRdVEIwipSm8V2fGMVxCCmoNU/Y
tFhh2wBZg3bZOXZyyCKCK42l3s8u+g/wCAa2+nya77rCXwVhTiVLwPlLEuZLs0V0LKpPsZvq+vWg
NzgG4n5ilN30ubxkRQumx+zSaI8B3/jIrF6z93ojGB1JqbWXzDf9QzI5ol0bSRLrd5ErU+s4B3Pa
fGau6Ayn2ixrm4kHQ2ayNt/IG0d9k3Neof31OiIw1YZGflvWtNXU7q3UoLea5zBh6qlEl7PlMuJz
q1AcDSXKrKsqJsoZ6so65FBY1lXdrjsxRUe7nQi+9OeSqo1MnZeugVG3sCp/mLesHuYlqrfuOjTs
F5xXnzBCf44d6mEMTtkS9Nlb2WZvjix0YtGyyvoCIwQoA7bvKhj2+SzsTQt5CQh34Cx6Q0TRckg6
HXX+gAaBCvtR1yIAK8ngfx4jp981Zm7sQ80Pr8htVbC72j0jfRxZvJXVFpdHsYSw1ALgzZFYeMx+
2cJjp+79Ex9uuXJQ6jVD4xN5nx29TgK292v3xIBg3icWQ8PIwFpryXDrRlW2qKEiLszJi1FnIkt0
82RVepLtQahtvX7epTrlLfu1LVNH6A5NliwCv0YoYI1PFkk6jFrnfuE69rbQJfd4Oy7bsB7Oicke
QoTIQGSqsjrxUq1jrTQumCuSO8Sv5m3uOPlbLKwa4GKUP8Y9oUZRVJFH1MfHf0+t7xUkNd3fnFrt
Sx41KV/ZX9SQ/OTvNSQxxR5LdgtBNT4l5WF6N92Cwo2VEkW1On840X5s3z227y4ZClIgBFTYpt9r
SAjdnD1obi2TKZdr/MMIY5PX//N4yxMeBlvW+QzSMLDwq78/tjRPM5MaYvalw7kwnzBb2PFZt0Rs
rNs2Q4wVVT2uj9Q+2+CPO2V2oopb10b2sdfTglIwu6qM+plM10Pa5LcRKOVWMZXN2D+hMD+VI9DT
HOwyAhvM54CYKSseiTV/Yyc1ApowGvR+TnEDI2ijZxZYtxlstR8mK8NC55u28YkqbTFCnF3VZp/r
rwZhn0wUghSdUu8RyuqadXQwEqfFsYCMa16IXjpwM0oTTYyvCeocpy/3LkKZbeXKgwN3wvpo+i3D
FT8bYoTIktrwqo6j5jkefBilvZkZgL0hby/bjsR19GtM/6TdANOrbQ1sk9r/JLnbz+vq214o+7Yj
wr/+2nEBALXIH121SGoper1vqyV2TKXPke+qtVOsFlAKrBOplZTR4CvDdUOcgI/0j71V4TPxYo+l
1fO+Za/Vw+rL+4HWNV/17L3Gwb5IdvELj41YnRrAUKOXUiuOLMa0RdF2p04t0Vy2aWTcQeSR+m3f
aXuEyevcr84e+zfDJFNZG3ZMEQ7gYHcBe7pA5ueMvV1XgGtijydZTRjs9cB3kqBLppQeXBwGWosq
Le9SNoFuTqJsKbYDG8K6BT04DnuO8cfMpUpmkyi95pCq1SIrAGMdy685MxWL3aPJDhIa59Yq2WMV
DUiN5lom7XPNzlKl3pXsMHN2vKhLCfibFtKezyQ87hp2nvNQnHp2oBbDFD5L8JXgOdmRxj5TOXam
+Lo3HTvU2I63pSP+h70zWY4b2bbsr9QPIA19Y1ZWg0AgekawFZsJjKIk9H2Pr3/LqVQmFVKSlfXe
oAZ3cu3KlBQYCMD9+Dl7r/2kGvHKZsZaau3noGDoKr76wAL/WyMWz5S1zXRWEUOqjnltpyK1qOJj
bdImZJ7bztKdwXw3RSDL4BFIWJJtGybANmlkDhNhR29AFab38H/vCjmkrSGt/NI4aEySVSbKctyD
XpqUw8CsGWFFS5wjkdlMoX2m0XhT3TpklMmUmpp1PzC1LhoaDvZUf60t9bp3xutaDLj9oDeuLGbe
kTkw/PZ1Nh8Vq2yKySFLUmbkkVpo9CA5+S2MsTrJpgGDhUeqE5rMvpFcKGIl3THnyxSMRzSuSz3T
DlYUXI1Vay5HpLiwvqylVlVPbTzx+Gnmsiz9Ne6maSVp/hMY1osBg9XKzrpb9lZPkzAbJ3rLhKyY
mWjC/VloGbmVUgjBs+ylnNGZcuHr+rVe416CbgS0duQbpwq/jEtp3ei0xyGwbcowkVypAfVQjcpF
G3dr9Keu4TBgG3DH8XTwbakqzeKuuaz8cHJzvdmDl69x7jZ7EXYO9+WgVdJagXecmdWxVOGFDFX2
UuoZX8YsLXE30Q70SbSLWrqhqb0t2lhb1gU55bmg5/szG6wEN6aQsXmoIRnOcVQesijFltVKLoee
h9bSsUmq5CdK2XzsxBA3ib6gDiRJ0lY3RMQhzY1C2OZxf23m6qcWm4hkBBtb6tIVyoEScvBwYTj4
QHqdFYBEjtJ1yhwbR+V3C0C61SrupkNR0Rk2teiUJNVdb3aMv8PxNjBxTYZ4G3LUhr2dnHCUKm5Y
UUOA0sNxmuVEMYliy5CGA5rndB8aZuL+Z+//vvejhHtn7y/S5/w3xxWdn/pr30dFAytRYev/IZX5
a99X/0AUDcaRdCn8IG8pjjZnEgfSBQcJvFlkzPy971MSaBwrcDvrHGcEFvLf9I7sX/Z9jkRYUSzk
PJQXECV/3vd1O4treKjTyW6D+tKKYVYzDLIeiKFXd9OQJI+T0loru+3li4Ej+qKf+3AJnnz+ZDlD
exPKRbqeZwB0FOi+Z0ltjSyhCj27ko+pcBX2muIfDMOpr6hX+fme8mPZzS0ErKIcNxLw71FlItW0
YbuBTpMwzJbzdZxjWJSneUCU1oxPWRgGu6ISHECpjZdqLjOise0Syt70yVFBtomeip9Zu44eAm0d
adjnCRGxdUHc6kg4Lx5P+ZSw0wLAJvjBMSvE3JHB4J11pHC0FndrPLewceMYQJAy6Fdtni2reQ6E
QOUxHAMfhUpPA7/cxfiFgQ7lyVadHTYGhpqXgRI8yMm0izqtXullfmXQu/WwPEvr1gzm3Rx02i4M
ZctLeQ0VqWq2Uas7S0p4fZ2kue71qupvTKW3F7CXk12VlQz+iv5qrnG6likpjDh6Z6TAFPoJagM1
cI6xRrOon7g7UkeXLcK8hs9TUU4NroPlZA0lQbfNDqHQE7LKkUBY5BZ47WNPwYgdBtXcupz9Qg9k
bb1MhWPbx7od69JiEl7uEVN39uruFj5vyBXxxYj1G4ER2gI5oPITvvCBoV2CUdzUrKvMonedjONa
xUquxkPrwK7DX15jNO8r5bLAeC4HjQX6PNqWWNJH+kacIw3PF251U/jWGdQHuImBeVt5tm8wtxvC
5Y4J5aYPMUo3CP8JscALj3v4ZGGOzzHJ95jlY0zzJeb5ULjoZ+GnN33zcvLj1YzRPpsjorqx3jsQ
O/FQY8ZH8FJizsfoSMcSu77pd/wNBv5MrT9rwtHvUO2OFlnHWP0r4fkf/RIwZQkHoH01rFaJUTQu
pIzuRbfZg+gkMw30i/HgDHQpPQvjwEFBfklUyQQymaAPDVtNPR4CyFrb/yzG39tH7y/GtI9WeF5f
oublN2uy9nZNVomgAPUBrsiC8v3TWUz7A8YE03lhYsXj9Xc/nwOXoyKERN7610/9aCEhn3Y0yMss
yg7sMeVfSQ3OTa/MF2gdcdgTMwVOYmcrspHKsh379Xya2/vK9hcsld8bjP/IIxL/wt+qStuQ+Vc5
7XEYVR2VS5y1qDDHm+VYaiwRxP8RJ2GkYL+NL32/ebMbMiwjLz5/63L8+ZP8eh26eG/PlGgPS/gN
Bva1Ekd8fRisL+9fQOCR3/0kZ6KMAPuR2oV8EnW0KJ/uLNwngIEcCa147+Hrc5v+sew2XXTZFv5C
ib7GIRC4S7VgbYdqUS5assyNANwBSQn6VRffDFlIom32wa0Qbcl3f9Oz87UWSX471OJeaJ6PD6sq
7zsURoWinwZkaj7lZjTRCMfgx/+1zT/FR//4nYsh1S+/ALGsholQnUhh9UxKm2ONZg+3phOtn0jB
9FxDYwetgkml1CtKTsgioFZte1cTYmF0w7WSDiY2mgJghCzNbm1wrFBLdOirNpB3g9PipkqzBzXT
doMvN8wrpVi5G7UsXmuJE9sYklrK3tirzXpbIqmAQbliDoHOYCLK5NSbkZcFLKSI9jtzXtejc5mp
l7DWVj5cTj8lu+IW+MaFRrhxnZjLHm+sOkDHNcgWoTkwxeUyIU24xEJlYkSZ0bdHk+J2Snew5Mwb
ys1UPTQxbFlJY96b75VWvyIzKh6zdQ/o6S4z0kWpzZyyndtWN5fEX9FmxbViRIEOoos0GNnGVFMk
6SPOZzYbXMKO4TciuPvw/sMsjKhvviH60z+/+GIC+fZ1GSIMwe3YzCd5rW387Xxo77U1JNETiTaH
dkND1bOXjjutNHdHQ29VLMdHaYtWeC2vkUGv4ov3f6GfFU+/vr5i7Pimk62ndBAy8cgWybZgIDXQ
tVlUKwKy37/O757Mt8vR2YJnR9mchugkThIDtNvxSxW4eCjwaZr+93PKP74Eys+3+PtHevsSMJN9
+5Ecvo9acyL1FKLTuoRq241wdBZDQz/CDU74KN7/aL9bAQEsaAInRmTxebRrhsfWslJNPQ0gO/L5
cy9dvn+B3y2Aby9wdu9QI1kERarqqemXHYXgILkIlz74FB9d5GyVdUbHnMkhVekz7edq15q3qvn0
/uf43Zb09nOcLY8TezV+f0M9kSVJoY5v1rx24qPQLL9e6H9ahHkRvdRFU3xr/7f4l1+KcqoRALf/
5+c/Nt//HHwtBPDqpz94rzGNV93Xerr+2nQpP/r9MRX/5f/tX/4JzLqdSsIen7+QZ4wSsK2jl1b9
tdsstAfvnFUpjw5d1Pyv0+eoKX9XIPHjPw6tivMHBxZDIU0LgxJ5LD81q2lWyfg/HFkTxvi/m9VE
DDj8jM1f0Ew2hErzR4Gk/4FAgR/DL/LnZO7H7bj8XkZwJ//xLf75pWKd5Khs8z+6yr+HlunsJa5V
zWhosQcn4KQcBPaR/lFyOuKOn9ZigWy0NZt/iMExheJrHfh2ociUQnbKdBqP0MO3DKec1Qi8tV5Z
2XgxaphfiYKemjUqYuC4UomkUWlt40YlIqBgLOSYF1ZtOc02p5V60dWSTWOn08zqwjQlefT0hmQB
EgQURJgNiXsFJ5Zyk4RZ5kEf5UQ0VuyHEJW9QTGVNSpn/AbFwMZqIpjKe/MyxhZGGDnWuK4I6AMC
JIKiSu9KWucZBMibvJ7Db1lMDpj2nV9q45j28FgJrqmT8idPoRWmeOEr/LR9BaHieqiuWiyidVTN
q1lSDBQK4YNWKvtwDDkgkwWzSACRa321RnR6GDhtL6xWOqK5+GQk2m3lNDc1VOog7z+ZRpZTylQF
IBT9UNW6F+jVAfo35JIgARYP6isYzf2AUQ6nj8hvKdZyRH6PTEk0F9MO4dpjGceQ0VPRRS6qUx2Z
8Qa3xaEb5c+hmUz7sNQsV/fp9tupgnO5SJeT45DHYjL9Y62nrtOyVTuOxhqYwryvpnLf+9J6zJJN
K0XBmqFGvSTEEyJXCXctusgYnXm+phMuEJY0N+qtX0fXoVGh5s8NUsykBJsJ9WTQKNu8GWuvDrOb
om73IU1vBKmy+TL1Ca6EOhhcWTVXY8mjOiqRp+st3jmQWRmBkGNZXQw6+RVKjDUgYaqI3ZK8pCA2
bgx9YnYy6mDjc1qIue/ALfB1Bn5Te1GZvQTFBUZ9Au67SOWvutl9gcNir5GDZnvNoYtILI4RXZW5
naHZ0yMD+jVyMgv9jcNAeA2B6yWRwu1sSsdWse5oVa/T0DdFsxmPjO12mnKYM/uqz/OVE8NPqH2v
gaebmRDY4NSv7aFVl5XGjTdya9PI/T06GlIsjWAJSeoJL+IFOUakotXjjlPN5cw/2iuoDQmpm3VS
rErpWW3A1knjttDng+aTVWd9Gv2nwp53wLLtlUEuXm0Zd9WsIJ6lZc7AuWttQoEgCRvqdBn4sUKQ
TcJ4J3Ee00B9FOMyLJrKwdFzoo/0EyqWKdNDN5zxdBtztbJC6dYemzs96aHIUQQYYXCp9yJ2MqJd
nvWEKVDy4IwDqtMrn0opvLXt7E4qi8WcDyvhWFKtcVc50m4cZdgRsblj9L1OTRrDWPmXWqGgle30
9lof4h2fb2/E8hOeC8gZGoctgkDClaqVhIXqY7IZpUx9LBAQPTR2QWN8nCb/Lmv95Hr0rQbzWqp4
eu3XC7IrwmUlCQh9io2azOtuUamSvBx4LQ59aUTHThdxeWnd+43blaZ4w3Dek2DqCGNO5dufZxP4
M03gTxIeEa9vTExl9ChghfRwK5yGh1kTHaUu3aMcCtxANa5bmRBFrRqqZdCXNorueA+e/CYrE9IH
BsLx+rIJVomjP5gmiRRmv6w6ienN2OQ7G3/ZhV+iqx5n/BaM+D7rRJkvzGoKeeVQcevGrRyUCfdx
Ird2Cg5xpsyLKfGvQEJ/7kbHjUF72LFaiSHejU8mrqaVT4jeYBPFmz5uv1n1cCIzLl4FDAwX2pA+
qnG3Ck3rCePeorMbdaErzOL9gfjptskx0AsBkW8sJ9RsBA94caV+ycx2xPmF8z3vH3sgGIbeEtgR
dU+M5VZlzdecDFAbrXslbz6R3XZvKAXosjG+GdPpkDvDpq3QlUtDfB8QPRYNvKLjeNGjoAsyjphy
al637XwyGvNxDI1jEeuurff3g2gaDeCvLdJ0ep3p0ihD79WRmZvJE8F6qI1ic83xhGlCimGwtaNt
0JA6GWp54caGeQPliDuYooMPcuuWaK1dq5kADCP5kZ0A3xwlvBTll9hy2k0RBwTyVUid5XpjZJrH
cgOzYSQSg0+fhdaBLJZNnQQ7pTUenbLHWly4JfMFNJIbxLmop/xskanJM5PjpTFEm46QkEXV+c9y
m+y418toHvMFLZWd3k1XTSnza+rE/crSpjbMJx8pbI/PUm/7G59oF4wX86oBYkLeVXgp6+M3X4bo
NKGHlXUGMioJno6Rriu/us3yFrJBXmz6oK82tpNNB8SbAF5U4jmiJ9Mv9nKNPUtVi5ZEQFlZFLo+
XOIhCRc2OSteYtcPuRwSsCXbJxmYBsfcqhKcPoB24ZitoMi8RCkpn3Q4pYehNHleZoE2hpew0PQo
/TK2kbVUtSwkSXBSLwZClb+9qc/+LHvedk/Oqm4B72a2r5pUIVAplHNDvJIYSpaR+HaMY3IePiXO
Z91Y//cuISqtNye8iafYTDouIaPyM/FRlqcx/uCEclbZ//kxTJnDD4BWQ3iF3l5DVTuyO50oOMkD
u7xFVwsu/q0kLd//KD/PMV4Z24Idq9KxMFUg5GdnlKCIJ81K+uDUoY6vcP81ZENI1V2nXw49MRUN
9jPjOyv6f/ossf5aiLj25uezw//PRwmdc/O7Rwly6BfP9efn+vnXc4j44TcHCUR3uhhTkT3GkOnN
QUKGOaHKMPBxVOmv8ugfqhfjD6G1RtH8Z0gw3+WPg4T2h6BEQOdhaibkzv9q+vXLQQJOl6ziVbeY
s9HxPXs0tVCRhpba4BhmT3NzHMfHN7flN2+wftZv4KiCMgc5oAG7UHUMwzo7qnR+o5MvMnbHbjY8
XMTf6LUdUz++Nur2W1srS1xaxJDooGkUKd/Cwt3UVex1FqEApmQyciCXK7dqnGXybdwRr9iUXyTi
nhaqc8BtOQKoZQueiSZUesVg4t23lXYKMg4LjJ17woxUQkaZB9M1Kqa5WQyysR3FYjUAFdRe1y/4
GeDoxaJWqam/SMRCpzM8ojXM4heLZdBJ9JdOLIxUigEG0rDaK2LZDBT7ZJWW5KWsqI5YWiGS47wV
y208DspCE0uwIhZjUt32Pasz1nsqNxWlDcs2up1qQ3ziBtbuvKxZ233WeI213g4ZIs2s/pLYBhT2
A/xpp1ZsEA1pLCs0isugbG8sunsSe4lWOU8Je0tedrtWbDYGu86Y2DtSfmntkjoFJWpXWdazr/RE
gFqQfhxp2SXRcyu2skbQn9jb0iA+Sex1WNKWoa8+NuyBDnshkNKDLjbHWu0vUnLsTXbNuqw2pthG
C935FIuNdU7Sy1pstQ17bsvei81aYIDinS6SF8T2rIqNWpuxLImtOxSbeMduPolt3RAbvM9OL4st
v2Dv76gBBmoBvgt0CjnHOczFu5F6waFu0AtST6kjTOqJhrqCc9Z1KAqNTmj29f4ipAIpoJYFY3xP
+hAgMWqUtMeXpKY3ENyZYMXpvUo1g6z6ntHXqqDKsWcDl1j9ZIryp26dtaQ1jwUfHkcKabhQ4BIq
psmC1EYFpSXjoRzo93ZVAKhkIh21fS24LE5IVGC8BSuYm4+B76PXatp4JXUdj031jczMjd3Gnk41
19Xyo0R111iEuiXUez11n2ykn2dRB4qCMKQyTOI6WTO4hD4nWbch1SM+c8rIiJxtOQPQpBB5L4li
054t44IyP99FkUmidUkEHmVSTI3aiWKVLBXGjKKAnWNCYKlopY7SVhVFrlFB7OTwez2KArgTpTAs
3gTtmdZwhKZQVgkb9AZq56CliI6oppn043IUBXYtSu3wteruXyvw7LUazyYJXAGupeg4inK9Qo+0
xOCOti0pA7f+XtYX4VIPrRp1kSR77azTNhQHgcIWU+qsk/foYRd2OKlMLup9i5281Ev6DHBtFoom
wJVq1Ww4R8ZeEHUHUwkwFyVljsfBgOk9O948qsqi09PSK9qqgCoXpScLek6Ck6u5mns+se+XL8Y8
fap97dlKqg3rG8pXJXMdhY2bQNiDD41AMAsM6nkDPWpacAA2mE5zwvTT+y7Jr4e+HlxUjScdcRQr
i1vH+hKxQ7csynxvVeQxY+rlvx+u8k4LwLYiF+LMH1TEP2uVF/exW1ItANRbh0Z4Qa7bPXkzWNfF
8MFP1/mYAH7F6tpErYvn1aS9j4fF1yPrMzYMosxnqGfIjIfsNlGyYdXjQNSsInKJGiaa2J45P0RR
fTHbyVFT6b84zZVS4aRNyQMaM7S6eFyXLHlbFY8NGTXMMdKpv6Phc5sRMd2RpZ0um7oLvWloM4c1
p9sNslk85XqLUjGSvgEoB5XegWflcugWS1M/IcKpQeckVs/RJSRnFkTFmqU/vPcrrqB26W0OpR1q
oezsOuCjyOaCY+4YsNYgNcFYIw9JL6xboyoodIjtmanEsXxOuu+vEJzfmv50a+fG/DD7eeQiVGtW
RocfxCIFruVQty7lPl8XU1W4iLpBDfVG91BH8FBHe4pmN42GkF0JPYYOQ2KRDDBK7axeTlnxKASU
RKMJA6fXNQXRMtYuqaY7OYy9Pkog75XhXZeqt3ZXOftxGnsStvHdFn46uWUHK72U5UeN2ScKQb16
6MyS8LECfmMS8qBbUQeG19ceVDx4N3iJxpXdSZwAEZJ772/PvxTYiG5wdTGzJShFg291VplmGUPg
IM6PLQHKxjhvDXO4Gupm9f5lzoeUOp4SriOiLOAZ89qfFwGtNWcJ8v5jlqYXjanesSpd2ln2xHIJ
kGlyRF5YuunHcpXayaZRQyi/yFDUfM9KdWDahGo+uQr97tpEUKKFnds5TNYC/2vR4VKZeAX02T6a
ckC59ldd95sC5rd3CLaXpeikLCNg+vkOGVlXRNiF8uOAWCKYbgW+Kiw+mHs5Z/MfTgjW95MOTDLE
ztbZ98AxvpyypOuPZQC8VDL1Lf0TnR5gxb7R98hCpP5BKtPiKnd4Bh15O9gDY8MJvr/wvM9xtgql
ubtiEuzcoBR1u6In/pCuIs55tnI1pkVVBMdIinajjxV5UHlvzIwDyYSY9JpQzeekTSHd4wKeB7oM
jWJ6YRolXtJqL1KtrkA4d+hVyN6bcH24RQUXMiSYla2I0iY0t9WsfgUh+TxaEDANmXAfK70g0hLh
vjVJG1kZ4gtYv9liHruQugkWSujE1lKJgk9+p2S31UDfzFGCg5ERWNiYJW4rZfBIAnMrkdk1xVbi
lbJ6MmQrX44zQ0pFSw++/NyROm9YW9bFR1vCA2sNymbCjpdqdQiIEzJkCblfo01EPDSbGK/ZkshF
xodStqnbzEC8Pe6Y6z4nkRq+TKmxlk1wIlYaXqDkhIXUVCsi8uB7qON1Zprp0QF1qJjzuK+s5oOp
IzZInqo38oTX50FYKXkc6L47wsbz9sQI3brI+bv2aCnqs+Y08FHKPj2aCKYWrKdPQcOgK29CVzHH
pR2lZMJo6QV3BQQmBuMNzOYLchIWMGUvjMJ+0PQ8xOVmVKuuk/UtU6ZuEUQ0Q+EVCBGanm3wa5TL
QYlEIKNEPcJCRHxqDhK2ugmyaHSJM6T5h/1vAR0NQ3m1MrOZEZL57IiJVa8Ulltn6p2pTtTO9Pa1
ViGdm4QHROJk2A/mA+ja7eCrX0yLAV05sAw46cbMx1vfwd7W125VaGR5TDwhsCwn9cbo+4skDm+q
yLjOLGdtTu2DnST6grpR9syK8MKw6r2mg8RjC9Ipod74z1V2DlN6lngm3NLRHhVNelBCokeqlkF3
aGGOniXCKsbCU/R6LSMZdvIezS4AobBf6gnEFNse9lYNIxYpNNt86TLgutWG8ujY47YBPacN8ksF
Fy63TMFSgM+ULxOiA2D6H6zcXA0FaawWIbZRbrmqE10lJU1z8ny8AgSCmZJFUArZnRlwLuFl7CXn
aqjab2QY+EBLgdR08aptu8Q1ifhQcVAhsTyYjbaOUCRDPwoyTw9meodUqEmHk4dY5kQZ7ouiXZDx
e0lMJd17ouASaU8/fxkOSG6V9JFG5aqC9u6QtL5UFHbN1B8IgSQ/ss7KZYfDkMBGaR0P9n6OsTc5
ERAPhT5+Q7AEAB1lFSP4Ngb7Enb7JshbTJrVIbcNqt42lciVFLKD1NrpwbAvXyEdAlwL1xXcF6lc
YQmLtOGUkJpurGVegTwf2MOlaXhWQlKHfczGlTmtCgBOVn9fythOM/nCNOraG339EIcDyZa+7+87
tbfcxgB2YIGeXQ+EwpfUDRuM/M2S3OlN3VOFWAXkdAtYce/Xygdb2wdv6qui4U3/SA2dCTpu0pGX
QmZhc5Hhlxp70WU9JfUFePoPBtGiifPOyiDglm9XBjXELZdnrAxF8ZVMjX5EEX/IgwdgVx9sfL+2
k5CA0VAioA9xrG6InfHNJxsaci0Ieh3J65igckSkLEa+emuQlLINC5QgydjvyxJEfKHIyoVd4QI1
4wJ/XAzpd+DfdZmVfMNnczXmGpMtrfskRcWpkK2blPKNU4/bNurNSBN3mbfBKmujpzzW76UwLa+D
jtGEEYbtOjM6MTtYUFh4k0KSCyXeOm81657O6k1JSCqdlF2ntdtIU7H3TVujdE5DEuxrtm2L0NBE
zXmZJKDOtjuWyn1W1l6U+tuhVIBzwPlvjex5lifDTYfgsYKdQuqjj22w0YIP7urP/RbRo/v5popW
4ZubmpjMumrfHo/2+BTOnyf7g+y2j/79s41DlvDlmEEyHSP7hiSdRaXdffBY/Ob5e/NUvE6N33wA
5ByJnKjBdDTUy0hXFtwmOZzc9y/ya8NU3CUbAyujXYgDZ4/eaDU0kwm/Pjqqq7Yv7ZBRk9xFo/XB
t/EaZff32ySaU4aGu0xhq3UoTZWzC01xBKl3LtUjZcwLm9ryNl35S8mDOuzeL/LF/ZYczsPn68gN
P43eM93vz7zRzUbbvv+BVdFn+/sX+f5cvN3wzwpAp4+c0glYRtpVv5RdSNk33Tq7CleOJ9I1Vsqa
+7zCG7PAEuU5WEQ8/Zi/vP9bGL/7Ld58ucZZBzn1m9RWicI5Poxb1bMW7cq5tBanBljgcn1vuAdz
ma2dY7gaN/mNsbnFsrseN6x7i3ldOItmSets6SylQ7fJ180pXKBdCZafkJsfZXdaG1tnW+yHTX2X
rW7e/9XPclJ+fbHObqCkNlFaShHP5YL566r5Wq7KW2VZufHSX4bLyMtX2a5YX74cvG5ruBzY4x2o
uF18hMXs+h4hJV9899P7v9WrovD8a31zQ89DLiIQarVl8luFW2cRuvMmW/u3OeHs8OMWDGwXtcuk
cm0fq436RCPNe//64vH99fJ/v0dnqw1LjTQ1JRIOeS48axj2s5Qc+04uPtiUxKry3nXOVh2sX1rf
z+l0pKZe9MOLPG4G8zNYqwpuhVSu3v9Uv1/j/vpU54dJidmXZlRxd4QizMnvugyu/nsXODvzaaMN
UCrjAJUYezWmD+hYy/ev8MEX84ozebOKSllp59bEi1aUR8zOq1J9mDv7g2/lo/t0trg1StrEvRW3
x1F8K3NKQsO/T8H8aaG2zh6wDl59Bz1wOg796EbmMUtGd84+GJ998HRZZ6uS6QfSRHOO3WA0Xd3J
vSRtobh0rjU1bjyox54Am/+H7wfDGb4jmDKOfnZJDEuaX0Ztd9Szb3W8SjTSt831+9f47dfz5hpn
L01KBJFUhfp4NGKd/v1Vln3QVfjoAmdL4pxkoxYXVX+UWbSZ/ida+sFtet0f33vxxYby5jkOI4Y+
fspzzNlgAa5h12+SC44IqHPd0GMSuci+e+z/UfkmJH3vrjXiU7+5pEL/T2nVkD3qgcZwzqp6EXDt
xfCMVmfbLy5Jv+IvFoaXueBfrqTFdeuJXf3ysbrUdpzawfB7U7vY5G64/ujX++1G/rZ0OX9yonqQ
FZ+XTjmJjVxaQDTXt7niLpK1vrzPFzsSpfbfEG4Rnnk37QGFfrB6qWJ5eu9LOfvee6kxw8qZqCWW
/XJeTvNCNRfOPl1eO0fzoK275aO68hc5HdsVlN+17UofrNAf/QoW89C3X5I0dpKeD2V7lPbFYlzS
2Yy/GCtSp/bd13FTetnBWktr6VvwqLnjOjkFy/jr+2/XmZT8R0Hw9y5x9pwkuNb1JufRrFfjiuTc
RSSqum3i3vbbcbsFi7uYj4Tu3cuoyLNVubYuocQtOy/cDovwKXU/+H3EweyXb+Xv1904uyW25DAb
yllSKk9fm2szXY4r9IWHaK8sXoItGRSuvS03NPUOo2vdeXgH+IradbK6iZaiSPizOPjP6F6cVP9q
8f4Sw/tYpL+R/oqf+TGxF9R3tL3A4BHZOnR930zs8atCWoWphpf1NdzvDaeCNhfJpch/NUWEwP89
sbf/0BTY7chp4Z2pAp52JvV9T/qLD/GnJ4lDC8x3E1wP8wGLWBxHvP9vVsC2huuVqjFjr9aXFqXd
Li2/vm1VUDuxCsFwJu2GTEwlPaltlt00nc/wXFawAM0+rhdw0gE+1XZR6dpRaAzI8MtGd7Lirxqy
NbdVZXNPV+2z0w3lbTEVjZdU6XjpBEHpIsexXKfzi1u96S9qGeR2m4NEj8LilAUVy/CQB9cKefLr
jq66F/TEqTSKcpcxUt+kqdYRJkTuECBNcDC3AfE2q1FHWslMJTql0Zi5uukw8TaHjQNdEzJgdFfp
IA5CdcpX7ex0riSYNAq34MT2469GuXU2VUGWaDCw0DGEIoGrJIgBfiDJeflMNyzAzdvgJNXLOF3k
XXboKqhgjvQ40DsCn01eBQFNqATKndzp0E8D2VODfpfUEio/+xN386IoCNiRW5prhcnYK0/CJ6PX
n0cTIA099vsAzC1hDoSYhgGe1SC6aXXsqloqmbQrFYvgwWCTzEz7JTP7qgUke4y5uTNrTPntnHeY
amIafhjjV6GPDYPh1SNfNEpls7wpJP+og1Gz52ijiUwzvdS++FNzKTV5f0hsMKN1S9ulonmmzaB3
Zn8+GgVfaVuOS8ANl0mmfQZyAS4ieZF8pi5FSDJQOp7MAd61VUIWUgKQXtKgbplQ0AshsHRJoNqJ
SSqRxZm+YcR+KMbM9grKo4WhhI9lMF/pur6PK/p70jhLiz6HzcDzMZKRWiX2SZvkWPuMANiYtlZL
Uhdk8L2EVDlza6Um38nAURNaxlepSVYwrZmGStPKnEn/oClsXMh9usOtVS8sgOawOJUDuGPg8D0i
YV8m9jcQAcATScB2RVOyEeHANZhiSAA1XR+SgysVp+okwoSjbOo8Mk5WsggahvHCTRbhwxySqF1E
IPEgoomZmmzA2l6nIrS4j/TtKGKMhdD8NhfRxtAbNooIO65F7DEFcrZU/cGdRSSyRjbyNBG7JMKS
E8O4rUlPVkWMskWesmU5R10ELKP3NKHpd/LCIn1ZsolhtlrUzuBiW7cUIc1jrd/0IrbZb40DeATc
aSLSWSbbuYbpt1NIe65E7HNVRHxLLV0C7aFR/JM0BCvQcCNpdNGaATnh0U5Wr5sJS3EwhUu7Sj+H
BE3bRcmrzmtSCku0yiyuxCM9WpilE8myl6kwUIfCSu0LU3UcVcEu123Ex7Z/7CuJdC3H9FQCtYhA
AumhwVkA0TxeTUozLKaqRGoyzSgihKFbrlrds5tCX0+Bj91bGL/LKt8Hwgo+CVN4I+zhVaxIa11Y
xouqvDIlp17NuMklOXgopUy7VGPmEKx+yVaKdMcNcaFL2kA+AbZ0E396ZcXBtwbHuhPyGl9ZuNhp
RuJnB3qHt/112/jP/qmzofzz/kmuCtI3F9rXb3Rv/OTbXZT4NgMTMQK3V7TDG+oD/AZ8JShlKdAs
fuqH7s3Clgy9iDapQbruK0z0h+7N/APzmsGGp0CUo6P8rxzGTKDOd1E2USh5RPWyV4tf5edd1PFB
VwbQE045ORPEKJk1uqZUXaZjfh/Vmu3hdVGQUNaIQhKLBdVot5WhfOsLOVsUWTbsBhB3BE0yOW/l
bhMUgcdmghaoLoB/5wxvRD5ZbMWfB78GAQ5cjtURlE3a9jl+eMOmNTI5lyjT7oyaBbwaNEg1GEdo
DNwRCVGARbn3Y+02wxV1sgQRuxBs7E5QsmWsFLsMcLbPGkduiXNlJ0w5oPh/BVnerQJVGm7/i73z
aG4kSc/wX5nQvRjlzUGKEDy9b5J9qQBJsLz39ev1JM1MdxM90ix4gCIWe5jYJpkoJNJ85jVp4axM
FLPDvB8Wcp/OEZ28QkQF1+0chUupOGsxKoeRsjTkKpy2Bk7kCJH6FQ3icshOK8MaJ16tLSPZ8aeu
Vz0N2G1M8Mls59Y4lFMtcJdeUFzrzrBAAxT7Wb2cVGUZHLax9V1RfGva9R0JujD4G4lye1An+K+t
/CxQZj1dq1lcUjI0xivXU4aVISlMTRO0x3GAindieGe4ah85diTUvOP5WEvPYRjjlFAAOfOyYNmN
XTAtXOBCUktfUPGlALq4tmhi+0LzUs4lxGBixCtoTWlX2INcZdWzamcvFsM1A1MWcFRNfaVa+6iU
TysXNSTdqhHJ1lRaViEAPhPd9piezhDrwdQcqpWdOVfQnrKLIlFOiz7s5zINajBQCJASPapL3KRu
dDrf06h1ZrZk3OYc3kdFi0yWRdvbLNwzuYIRjsX8wg3i4yqrLzo3m9UxDnRdush6HIEVI7hDTUkH
5YP2jlvBynbiYjEG6OwVwz2GIgs9bb/raJIcJlp7haTROFHGbsM791gtxpvWKpTzNEu0SaEMoBFt
DY6If+o0knvSauWjUrrEb6WiYqeRmt99KbHmhdU4xnxIq2Iuj0BpDIqUYZufea1kHeVeVl32VaYK
W0UuHSYI5jIUsmc7t7uj1tAmtmstSkRNas1dDIbWzTS3fHB0ZLCBxa30KOctaNRijbIqOwo4jcEU
2567lBJ/vNXyTJnoKkJTWm5d24V5XCvDJvaLaAYa/Cp2iR7MsZ2PSXum+tjsOGjc0lUZRTf8ORxz
Bw8a6xnKKT7LNoLuRutUyJNXlwC9mOLy1I3Q6oArkR9lVjlF1V6aFBG0LGy7WOE2iv/9wF/0LfZl
nTfQ6nRf4ty9ALDUIBBVy3ioNPjJN7Bz3TE+LtBhmY+gBVZeA8YOiJ3lpkddqFYz2mUPIfaS6HnU
9YmvS8BNIcBvZNmNbjJZz4Eh2nAzlNgHSPrv2+lVAsMgsf797XRTBthsDJ+vJvFnf15NZHG4eYHo
kZF/+NnzWDt4ZRu8ihByJbzfS7pyAJ3SsUABYcwHF4Fqwse95Bzw74hJYDcEWAPljH+S3Vnyz3UC
bjiUCUgTkdPiPxAffqlbSLhymkVRJRcp3ET9tFIbiIBDE8iAVDDfVR3IUAgITTB7eUKx+PuYjf6y
l9JrHTXPiWY9DkjOz/PGW5VusijyIAWKiq5Lo1tncq0UQs0rBqHW4/maIWRnEBQuVECaE/T+zyTJ
jYTRUA3fKDuvhvpZElo0htM96yjqzX1EXhoHzZnMDo57XSBjnPBUQg+xlDNjlvnaiK8N5CesXGPO
iBJPIAhxZVM+tghRgwIblthNP0q9svC7Gjxe760sqz5LxwjMK/i3iVF0D50t3cb1EE/DSLnWjPre
szlVHVuyETPTzHMPRfM5+TsadUZUzmlQry28cpcVgJGJjc4Sbp3nmV6AORxVkK1WMcGu/rJX5aNE
NjZ6nSy1sltXenDMYROBPJWmva0eg1vlt51VIpf3DdI8Wd/guxN5ZI/mvRM+al02k3XtqXKcp1Kt
zssxuDOy/ilCRAoqjDzOiDguiP1x/jW6VeIHeOLWkPpHqfEWQxRcY1J6BuvvbNQKdxrKcDMHFR9U
o7CTwxAsBmlVjWKirF9IRsfpIjyQDYl71OuV49A3vWUoNSb4DYwCikYmqO5vzQpB8a5AlsGqj+yM
zEh2kvMcmBYQywL5hDxVl0MttBfDbFYGoIVznN+XkeWXs1BO2rnZuv3caF4BrfzUIoOBt/nNta1F
HDQXptycy1mKm5vkFMtST6dQge0JGquHKipNk77uvInejTBo5PIwkQzA2qrkLqH1uNMOAxLZwu6I
r4LfLB9DqbzC6emi8+RDL7TIFNUQXhdSFLW+chSw6tFo3tZhAZzZ+8bVuAGWJ02jESlNozGFo5GD
5F4z3qchNhWemh+5Vn4HjLiaxVV3KzmYe/GnhAuEOHOtja4HCVCSppo5vL3sJakkPCiz/FQfnPNI
BxJeDz1ow6yDUtt2897us3MLwB97pbSJBALcSiJn1dUglSOt7Ne1m4czbnCXaK+SQC+H4H1BiwW3
hBtwfJzAmrPXoBS0iD3WVr1MKzSncNfOV72iulMN248BGIyewhFMQpxrR0m6JKYAR5sW0AbV5CxI
1RTZDpoeAd4L094biZ+yddQjNs5au9a1I2l4iWQ4fZJXXmVWNdeGPpz5vjW3cWzBTfAFNnqIm7b+
Uo7yg1M5J1CQzvJhuFZRBZoYleTPzYEu7ZAUV35TrWMScwREDu1shLTmgFhW4CKz9sKJXem4DQ8v
alV+96TmuMvqS1qup3Ubkrmn1J0iyHMOjSBFxpIa9oA6CZtI6C367bSs6xdyuARbt04E2dY6KMrv
qADJkyoDHqZmPR6FnW0e1Zj5TipDsqdxqN9z6hbIRVIkaGPzqcaSHtQd+C4O5ONKKvulVzWwHMf2
qMagZ6qW3pXp9+sQ9bBJrkf4WhQVJRmPKLDS6bAm5gwHPJRM/f66NrD1RsFsHveEEljQIQeaGiWb
LmNL2OZpXAbhPOvdsyzWBITEpTIredc4qJ9nuXPtuPpK6wc84lMhSjzEV25OoIQkz8Kr7fgeE64A
XFN7IqFtK/BjbGwjvLNMDQGutosWHKt4GKr+Y5+io9/owaLt0iMO9KtBz9pVISf9jAvgEicDFT00
A+tB2176coAeTaXpBF5ozdvpEZxlfUqRDpvG9jIwdNTN4IS4ABbBPpVIh3oxf9u214YZ2itqTY9V
FlJwykt3oqaqPzXDAjb1KL04OrYISCsHS7T9L9MhezQ19nYRWzY2OLY0jXsP6Jg7phDmcHIus+Je
sRN3io1BPEmGnloX+jRAvWWsTzmzjTyVoT7I9SIWRFYnuEM0TJ8iLLsYkNubKHzlQBqTctppIDPr
XvYWOEcwp21gHmoaZUBPJ/TGKo9Ng1ZNo7e3/hBddtyJ0zpEAi4wqnACrNYDvT+w3GwrmjUh/2YL
x4ZcGnHqQzkfAZwMWJZFvUDuoKhH5i2i3Etc956NzLjA9mnTKwxX6SEUXsTaOowFJmaTnkDqK/C8
wrxVGERYVgqWVTms47wkplUbuJQ4SBRxGB9WY3GrqWx8XKHvJPwC0d5+7op44bjhLZe9fByY2Ktx
/x9W8AGtoLjBa2WlSZRMsGvphaJqA762W7mE0kJfAVVgvCyIGtuZallPQZ9JswRZBKCSiPAPmX2l
uEkxNwTYL4XnM89z6B9t3LiHcjmsTfowfJ+tuogi+6ZP6ZjbrnQUeN66BHrrQX+f9GGOJ2PG31v5
RRZBFcTIwJtD/njKcSRCPDZ40OUAbGRhXsiN+S3TTcwY4n41etpLKHcWZyxuNKoK2NbuQZqaFizw
2qzwYcoGll8oiovBABxpVB7Mqj1z9CiYjzlfbClxavuDRgfIIuo3pXAtp+opDnr+tA7ccFq0+XEg
jAuw6lsOI7aKjUaptpGjVeihAw72gPuuRl+8UN10mgnLA0h1z74HwrOwvXLRUpyfZknbzjIZ475o
FKeqeZcgB0Vl2DWmSSHd+GV3WzpQq9LAmWZdfNJUMDu8htKnV2Wkr7p/XZuYS6Iueth4TTVNZOdW
T5sLL8aGS6tqNFZzCdNHk/2ktfWi96R4pkbpoUTkxIYM5SlGzI+5l1z0YOM8ZosrJFwVJpg2+M2b
joRQys0XU5ZuJJKXmZWIDNKJXiyR+1GceGqH8tjhJp8MlvFUtdaysDE6TD3lyE21FN+eVp/2ZnTn
JQnGhH2pTu0GjKWUQAp/lG3vhMAA73id6p3ShEe5USqCkBCeqQFuPMhTTGw7evAkA52nLrxRShvR
xUa6shLHpEaYHepOd9cTc+HxOpJS51k6L2qYKwPkCsTiCz6OTp3D7lC6yDL92Cbrsm0qm5FVxFP2
3QsKnAkStmSoXqQt5La5z1u2rl8ql7GXCvFa7VQzg1rYNpUTgPHXZsB3BKdAI7zsOafL9LTXSzwO
Tf1IseunMCGNRLf5ruipqUMQuh1jUO5DfKPqEPc6+E+ZJeNQTUXB7lJt4tQYtGZxc5JX5SKVAQCi
7oyQLpw5Vm24cYiN/dYkSe3TzZiUuMBSe/ZQn1bV9B57gxncudu8pW5QEeVZEUefX7Ayfaez0KII
eMjGWsp9+WL6hHRW1j9oCTFfi1JDEIf34F0Pga/OcGpcu3b0GNbNua4XuCMAmfYAv+Jbyk2pFYh3
WVe9r8x7A/qBW2TXfUVPQ3cOHYS3Czm8ANCMBTXKuYMGE96N5xiHnpR9dtgE+TQ25BZXx1AZpoVn
qdFlnI7m/YDDK4gjCS+/y9ioYbYPtkkenkv/Jgcrbzkozdu/yUE3/jpZb0lB+as/U1ASSjqJBrq3
HyKLf1ZHtQPZJKIVVUn8pYXy0EcWKh+gnU/JFGgksvdQzn7MQklPIX3jtyQkcf+ZE72hCJjCX91q
kYWaJgp5vBd3LSVCSrQ/9hjTGFhMzGOct44fVbNQw3rRkPHdTaWjJvbmSq2PU0Nqh4nbNod9N3Bp
JNAAldY5qo3InObAdRdeCAlLyoplEyb03ZSAxNNM5mGTP3lqT+dtrJveXWIE2UgzTWq+VTDErgbc
l5dmabqUTAbzMOwtCmZweHMYAqeGUMI3iJlgXymPtVu9yG5Tr/IuxcA5xAcSxkE0D/rmalD6Swvf
1MsCg4+pF3UI2cW02UrbZG85ovDZODn0l9yZAGvl5orwfmyklRJa7jykMjSxm+BZwbkZS96WLLxG
wJomGBmZl4+48GlAviM3Vc5dNaR306T8G052KwtW4CTn7ccgxiSWGgDvQgtrpLAwobSMnKrWncaW
ex5m/lGfqqu6pC6MkOq6ZtMfmx6dxqxuDUDu4VVmVMIU4LiVZOItU4NQkNC9HH0o0OTVc0hmkFB9
053j6nqbj9W1U5bIh8v2oVGMF2UXDTN6yXdaYT1lZXZWwM+alIrP2WlcGLV747Wcbh2mvS3212Wu
H8qNc2pUHbXMSjLptOrWEurRfdjFR1hIP/Rhja6PI730ng3RqHYWQdx+N1Jnk6dWcajoPnIiKa5+
+ARkhCJYDmi+558EAUbaEXxEGmLcCkP4LZK5C7oELGScGv0cHWQu0QwSy1hVd2ZbPdhmP810NZtH
MDkngxeQucbFt0zDHzyRY5RAbNObVXJ/k/HVx7HaatOgxfElHbG+NGMpm3p6c5FXcIJkq0OHcUSf
Nq/vUdB9TrxUX7ia8pzjrkT52hc+4yr6Kra2QECkXZg96SsESo+3V/tlI8NpkvEeRGJRgQmc69qh
1DjO0kNBeqrZGRshs18GrHr1qHrU8g7/aALOuRJWRKRm9YISrsnTDsmUvZ9P8zSKF8FocZm6zsQi
/JgWAXuELC+etJk/zlzqNdg+aJNuaJdei6yPb/fnWuuuVCO98Pv03IzsQ0kKFo16mCQztzt1GBPK
/XVedDXFaovGr3lnUQ+IUsohnRYOMzcEcwNnAob1pkrre1hOMhVPOmRZmDvzynLKaeZQ3a1DStFR
foqCxZKc+bbymsOo8E7qJE9WigohAP0hNW5XetPBE+kcVnvfnyexipK/HD/4VXBmmBiIEeJYhzSJ
T1SHvLbOl7FEDmRXg0o8FmGhTryN/Y8CFMlTgsMmDE7UJjhRkvwhVkgM7a6iiqq4t7pl3DVlda4m
kb70Ebee9aFi0rjXoaWnNUZdHiGu1NRLsgYCbQhaUwlB785077BWTxEdhcCEDydHD3/nJTFoiDrG
kTY6dMdyU6SaPldHGux4Kq7Qdh4JSMAGO0zrtK39O9XVLusOpU0taAa8syod0k9prqJCfqGwd6wH
wUlABo5GDWX3OC1mchI8jKZ247p87xDjMXyFJDOJQuXKsB28vEjVPC29VCWEs5TRfjGdZlkLCaMi
tV1ICO1l6TcYSKo3rV/REJcwBs/to6D06ZFbyWVcQIazAunI7+LbwKjTmVz3R+Zgz1svHkipVGMa
FnFMmtpF81jvs9ko+6foOFG6p1M/k8r4xRvdmyL3INkpwqonQPWr98PnMgdWkZETynY3zlCRUKep
qcvHnSeNq9rOF1ZHpX0sxsuBXG0utZReIse77rVg3qiIWbn5MTIH7ULPyyM6fj63gE/yghrDUutM
CIVmZizcZLhPUOFFVHVdVH2AHDYMT7trz0Ba3KpGezJityr84OZ6qy9KJLFAZRwHebkKKxfJARYR
fmj4nBgoxw2W8jQq+anhcWb3+IeYVFUKpdzUYXBa98Ua4uDcIsGYVAMim5rykKFGht4XhSw8HGgQ
rKya09SrF+TdKxl5K07ufIIrnD0zImS++8G6yZvgdNSNTVRzUAaamc1peSEBNvSgOYJTPBfKCcHa
eemM3lLVu28x65aUFFcXqyv9aatCTKJSSWbXIjxD8VKmisndWc6zwG8gq1DilEWx0xZlT6zy1GVZ
lfcBFVEjxaIK+fVbxaofQlE0LTkXkI9naVAXhpVBeXWkzKpBNVmWtNF5vscyRIYutbPnStRmnZBW
RSrqtTiyGjOXEi53HmJs/KzLUW4QVd4aTp4m6r5O0jy7ohIsW8Wz5qfnYehgtyyqxTWeUIqoH+ui
kuyImrKHPDoaDtSZ2WXF1LUNsNoyu0xUo+EALTLK0wNiunOLc1LUrTsK2IOoZAdS+D2itG1gRKf5
CXh5F0GsEBAjuvPXipErZISFdTRK1mFe+1zFKZWBmNBoSmsSA1hJqc4deObekFAbizK8Vuh3wsgH
G0L+owVQ+Ov8xZZSmqi689Ch0TyXCqrrtMAwHkN9IkfzQ0bH6ZL055TTvHLcU731l36gG1RAcP45
ROHJKSgLxZlvTspApigCQgIDHKrHhf8G5P030sAgrPybOLqJ1+VmSxzNX33E0fjdIQzFNkBhhv6L
iIg/4mgUPKH0IN5pvBqm/+BLqpkHFBZF08aQZYJYQa/96OYYB8KGAoidiWuJYurKP+nmqLZAdf4Y
R+PU7mARxTMoOmBC+ReUAdKXcoEsf3M2xhmHETJqWCwCJo9qC2cmZBrL+M5Q3GA6ZO5pUNrdzFC6
alqm7QUCNocWMAVqoeg4ObBXKyk49hsqWdbYTTI1uAbH9NxSbJ1KWUt5RuoSyo3qaTZSEnZl05sm
lcA3yHecjd/VSr93Cg+XJN8h7ollCoDSuIh1SQI25qMrjXOe5UlEN3n4zbDT7/mQ3bY+LYqsriCa
m+a3sqgPUwAStSPduSnCkyhmaVpw2kb+SZ0F36vMpnzsWBelZjzFjmfPEz4YjXOs3ZAiA32dPSQD
MgbomYEjqGm9FHGHfll3O6iw8ry6W+j6WM/UEFwPCKYYU3T7ufAxJYaUcVLV8U1Hq2hq449tRPZV
FjjPReVcBEaPuHZBKV/2wnrudpiT5i1eFOmTW2cPboE8cJY+0RZ0phjFevMm7TitreTCy51VAOle
D73vsYpsSR7bEKHNSByD2VOnOKeRBKoyGUp0G/DXQWMiIeQtOBohEJyAaTsqdBcOJt4J3EjU5LqF
XHZHnuOshHAgNtAvgR5uEJK+0dDadLXxPvHGZEZAekb4OnXk0iD+tvDXkWl6qH1hXhL8nvpO/4LN
UjZD8W+Zya48bUo0lBNZvdM940qvB+z3guhG99SXRjXbwyEQf44Cx0LXmvtEQjgz81FRMkxqeMgg
kiiFJFvxQ6ZTslfzhha6IU8C4C0Q7DGgkHVpYo7RQrag9IPfWRa1j8JRlGMknfOtJbWKnolh0kwk
gipQpzSDqlq6FSU6qpBHQuQBPSc0XoxuvLJg0Xcp5lOUhKb66IqGEVkQwQkN/7GCZIwq7MTAIXVq
jyzioeI7TNTcm3fleI2kK++a2lSu2oUrN9ejrR0FXURZVCWrqgrXm3kxuI62iZ7qrL+3aQxPLDN/
lJWsnKSZOy27vqeVFqywnQA7I/krOZXCmWRF6VSWM9jk8lKREdpGFtZZYU42gGKzN0lYnNABaid5
FeZzWoKHpjcMM7UBtkNx5hYVoCOcqzEMADiLH1H9WJFITuVSMRGhyMcLOrjqsZ5GhGXo2nmHser4
2iyKujvVRr4FfdvKD74xDW4NRNfyurkZGNrCdBM5vbHoE2Qzvc5HClVlLDj+dmJdcEkG5sVQoAyo
Fb33gEbIvIpZQhPhj3iWI9cS1sRTdtdPZLyVfIsozC9kIZJq9Jeo1h65XhFo895qNfQZ7HickTxV
xWFjyUieFgFyflNwUnEyqwYNKcb4MsvMvsAEU1Pvo47k5zRGWopzJvbB7pjWk+xhWk9uOpQA/IGv
OLhiRrpRzOm+Wt6NXFtx9aC6rUelSxsxEqOhYbrfIyPw9VMZN3uJPLxv8jeo/f+D6/L9EbfqW/+J
8RY/vchoiN1kn0Sw/0+/9AEe3z7QPxLMFsWlny7g1wd7lez+23HiNY2L5hlJbo1b1kTtGgk5XBV4
gZaPM+yW334sodBzwA/x/wa9J17c0LzjDzP1u7n4+4959UlR/PM4f/sRNq/q5IfP//kfbzW99wf7
S6H8n08FOH/BC2AqPs+BRWqEl4mz13OgUQbccTkQj9Fq0xGhfP2kn5eDcoDjClqIzh4thx9jTGy4
IEz941ngG/9rT4BiFQVUEDxvk8Ca/2lPEJrSXkdYAYjK62tf9wTh6j+eCaLzH6YCrzbiXgexyrdP
Sqj901SoqjBxtWnf8JO9PBh0+Dc7TwLZCdQB0pGP/f/rJJBqckC+v9ceno5fcVEg1oY0rfK28WWx
Tn66KNQDQBtUooXryx6uBI6sf+Vg+Hk7WAdY+3EfmpitixcH7q+ToKKXapn82R7OgfjqvmA3wFwz
WAdiRnn9eiRwOuLICAHAelt0e7gbdl8IhE0gwZH24nT5dQUA/FQs7b04soefnhBv5wNRgRSi0Kp8
OxA/nQUoI9vitNjbA9HY/VZwDrj/DdbA7yYBHip9Xpse8b4eBm+n1C4xM/tA4Wum4bz9MBBkXGIp
RREeN/t5Iu68EkCXEzKTIYhISbw+3Qr6gQqsmFthX68F4+3b2WEl6PKBpcErtQzzN5OgHjisE8B2
e7sSdk+f7AMLRgLM6Lc5EBHHz7cDsyQqysDIPyLJvdwUnziE/zybNuFVIIoP0e9tLn4NE8gcSLVh
XDhvG3APL8q3lGaHTSE6FXQhuCTeE8Vf14OIlTACM2whzbKXK0HZOWAUJ4NQD9Y/x0r6AQJx9Hjg
l76+9nQO9K+IF/EGRA1cfV8In3aDAnGJJFPf292g7HxFaCqHn2obNObewsZfa42KQTHSYLdQhROv
fb0o3jfrLgeDc0BAABOamuLr61MEzW2pGIpJALmnm0LZPXiEEi7jnYISy/t1+cttqdgHbBcTht/b
Sbx/V4QAXu6YS+kHMIpVzdYpXIrXrycDk4ABC5VpVot47e2m2D2tNA4QZhO5xNv2Fx/1p+iJ21JU
IzlJ36Z9/9aD0LXceT0I0TpUiN5Phk+HJNVpAmmEaPf1YNh9DswDvmLqaB97YkvYhCynw226rwtB
qE7tuBAENIZvmpDgdd9/2g105ujbKUj0vb3X/u0GND52nARiR2osunDxfXv9uhuYBOT6HB28z55u
B33nlcAkUEuFaaD9rtKkshI4NWwRYe9nFvEVqRQlR6qq1nv/4dfLgZWAIoxu05Pb10nYPY3gTEDK
nSl4LzD8GiyQVAOiYzOIMGIvV4K++0qw2PIyBXbzd7GzQidKxExoOeznJAih6Z1vB5Y6m8F+Pxl/
3Q7ESmiwW7ZKjvH62tepeItnd8ulFJFAoO7xm4tSo/wKKxuXpH2dhN1zKesAiUrEUMz3Usqnk4Gb
FLI9WcQb0Odt2vcvZtB2jhk0i3qTEHKB/Pax9H9KIzgkgbdgTKDt603xHtHtsCnoSRA3Ctzye/mV
af15EggqdGAuZFP7uil2zyNInWlD/7knPjVmOCQROrHp4O3tStgdwmPiUmsK7Mp79PgphKb0aJjE
l3sLWhBiy7tdl4TQFBWxcP6ov/J9/7wd1APamAqdyrf7dF+Px/cIf4eTQWNTCE9fkuffpFRMBRmV
TGixpyeDEAvfbT0Ae3VQBKNR916PJzL4eT3IdCsF90QIS+5lIP1eA9tlJXD6IdcAFfw9pdpyMsB3
wkNqb5sSgvqz40rQaErQkLXN3yAYoCjZBshfBOf2dCUI1+8dJ0GIs9J+Ir/+TchEOCEjHM4BuaeT
ILyhdpwE+4BIQKyF94Lbtu0gWGVo+33ElXt5Mgj7+h2nQhcRsigj/L5vjQgPFyZ4z9fXnq4KQSjc
cSo0yrCyAVH3vQLJiD/dFJwPeJDJlKL3NYbUds8ubSqQoD51QH2vr0/XpUg3xP9o34jX3h6Vu4fT
NLHhlxqvpq6/LgSFIi2dm/dDdF/3xO53pkGEiMIgEdLbpvh1T4iqPPsF1N++7gmIwbseDOx7urI0
8H9XcVEOKEHgmr2ngHhRRP6CSaAMie/Bx5r/dDCQTKhMAsKDe7odjN3LDMA7Ychp8u9IMqLMgD27
bMr7WpB+X6I7JBMCBKtRU1M/qBGsrZ+OR6puaPWbBk2aPV0JwvNnx2DBPtA1xyS9/l2t5fX2MHU2
zZ5OwidNh38F+Ql2QdRRftO4ft0O4mh8b5LvXxH6kwXVP58Em6obuCbKKL/uAzYKciaYff+DE/H/
MEV/co+nfhA/v1KTkX965QK/kW3/11/4YOx+HuCdiSvYtq/8yp9+82bIN29jv3Fyxf//r/Uzphaz
oKrL4KlWX/nCP/z0gz/8+k7vf//+ET+/+U9v9vG5Pv5xFWzKdfnkD68/GN4f9GydwG3+75j/PK9/
ZIcKrrDI8z/+Tbz3f/7Hzw/7wyHw96OjdrP5GOgHIjLZ118f9V8dPFk/Z+XHQD8MzprZefBJU9fb
Hpw0Yeexp+t43fKVVB9j/fDsnPu7j4+uZ/XpK6V+xXn6BYOndYk5TlbV296CnbzzW8w28R9nWbl1
/imt7Dz+PP5jlpUsno+xfph/rredx1+USMptG5zIZufBl/EmTT/G+eHBv2K7rprkMYuf68/DC4T7
zo9+mOSbMljHH0P99fQCN7378Eh1fwzzw9BfsWOPN+WWORddwZ2f+jhIvS0HgfIVe/VkHW05wwQy
e+fHPllX1WbbnHzFBj3Jqj/+O/U28WbbzHzFFj1dP3MAf8zDD6vlK7bo6RqHli1jf8UWFWPn2bbT
XeBldv5aTzfpc/YUbDu9BDnxC8YvnzbPHwP9Ne+C9Lf74BnP/jHOD2N/xTY9zbbOyVfsUoauN+Vm
2PLkX7FTz9b5loUueqQ7T/jZpl1/jh0NJJ2/YPDzcs0R8DHQD1/nV2zRi3j9tNkSO4pa3M7TchE3
ybbgTrRkdx78KiB0rILnLTMjCvk7j3+9fipJCdJ6y10qiuRf8AbpH5MNQmXb3uArtirujbxBma7L
560HmeAffMmnmAUbb9uH+IpdKz7Egh3wFFRP297jK7aveI+jbF00224roZP0JbN00gTVH+ePQZVv
+xxfsZnF5zhd15tt43/FfmZ87EAn6/JxvS1mEK3Er5gpYTmKGuiWw1rUhb/qHX5vavoqFrZDsn/t
r7fmhALcv/vTU8PYOjVfspmDKsJNrfl4zr8uG1Hz3f3Zs3i9LXoQOIEvGBxzy21r5kv2b73GHTpe
N9XHk/4wNV+ydUWZZcs9LNjEO0/Nzd+ZVOy62v/ehXHn0f9OF3j3wSkQJdvqcqLYvPO0f2OEZtte
FV2knUd/yOIt57woRu8+dPO4ZSMJFZz/ZehtZdk/9R8/F2s/dB23/dnPtWjxG0/xZl3+1/8AAAD/
/w==</cx:binary>
              </cx:geoCache>
            </cx:geography>
          </cx:layoutPr>
          <cx:valueColors>
            <cx:maxColor>
              <a:schemeClr val="accent5">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w="19050">
              <a:solidFill>
                <a:schemeClr val="accent1">
                  <a:shade val="15000"/>
                  <a:alpha val="0"/>
                </a:schemeClr>
              </a:solidFill>
            </a:ln>
          </cx:spPr>
        </cx:plotSurface>
        <cx:series layoutId="regionMap" uniqueId="{6AB968FD-0235-45CD-B2A2-78231B616A47}">
          <cx:dataId val="0"/>
          <cx:layoutPr>
            <cx:geography cultureLanguage="en-US" cultureRegion="US" attribution="Powered by Bing">
              <cx:geoCache provider="{E9337A44-BEBE-4D9F-B70C-5C5E7DAFC167}">
                <cx:binary>5H1pc9u40u5fSeXzpYcASCyn3nmrhtTmNXbsbPOFpdgKwX0BuP7627KdHIuic+iqUd06upo5ZyqR
GmrqAbobTzca/3Pf/us+3qzLd20Sp+pf9+2f76XW+b/++EPdy02yVidJcF9mKvuhT+6z5I/sx4/g
fvPHQ7lugtT/A5vI+uNerku9ad//7//AaP4mu8ju1zrI0ptqU3YfN6qKtfrNe6NvvVs/JEE6C5Qu
g3uN/nzvruPgR1amwfr97nv4z/ffsjh752ZVqrv37zapDnR31+WbP9/vDILfv/tj+F17er2LQXVd
PYAw4SeUMUtYpv3+XZyl/vPfGwijE3iDIUTRz++7WicgMlWRRzXWDw/lRil4msf/DqR3VIfH/+s/
PPb99vG3P7cPv/yf7z+lgd48vLvVa71R798FKnv8fcrOzbbP9un28cf4Yxew//2fwV/AzzP4mxeY
Dn/L//TWLmz/AdLbdarX79yy6g8ALD0RzEKWiah4fPEhvvjExJybpqC7+L5Nq3GUR8aYgPWI1JEh
frFWapP+82hb5omFbIsLbD69yBBt84TC2xanbBft6RqNIz2Qn4DyQOLIEP4rBiP5AKv6H7fU7ISb
FseckqcFDUDuGmx8ghm2GAUf8OQfnuz1GzQah3g4wASMhyJHBvJdFa/LzQEwpieEmAgWsXhaxuB6
dzBG4gQLzjmyYYG/BHm6RuMYD+QnQDyQODKE3QwCje0qVlsP/Y+vZX5iIi4EIexV54yIxW2GwG2/
xPmteo2jPTrKBMxH5Y4M+dtK6015AMzFCSIYYwisX8EcnVBsI8vaC8gmazSO9uCJJuA8kDgyhK82
9fogHhqMM8WME9N+JQhDsOyFZe8hPF2jcYQH8hMQHkgcGcJ/xXmQHsI/w25ZEJtCqD2+hsE/M3jZ
NrN27fZ0jcYRHshPQHggcWQIfwanWD066OofJkSsE8xNWMOvuebHEIwgk5oD1/wGlcYxHg4wAeSh
yJGh/FeyfsgO4Yv5CYGNEvAfsEx3AmxswgLGWJDnCHzAfU1XaBzigfwEhAcSRwbw+aY8ABtC7BPC
CFCaFn11G7WNvyEeG7AhU/UZR3dHegK2O58/MmRnm/jdVQaU+T8fSVvATNsWLNPtFmr72mNCwIab
FgEmZECFvEmpcYz3h5gA9L7QkaF9u74vgfdK9WFSFDaDsMvi5itwoxNIYMA/sOS3r4HNfptu46iP
jDEB9hGpI8Pd2W5N//kVTsSJjfCjBX+CfC95gU5ssO4INtO7cfZkhcZx3hWfAPGuwJGhe5vF6/Qw
K3pLdHDGyLh/xpCbsgS3TWuYm5qs0Ti+gyeaAPBA4tgQXqfvzrJ1UQWHCMPYibDBU2PrOSu1l5RC
wGZjILzEE2EyWMuQDnyLcq8gPjLIFNhHxI4Meyg2WNebcq0OYL/5CRIUqE7GnhY4xGHDbRYFdw4m
frDA36TUOOL7Q0zAe1/oyNDeLiZnAwUTh7Dn9ITbYNExsZ/ctRjCDRGaiU2KhnC/TatxvEfGmAD4
iNSRIX61ztcHWdpYQJoZIq+npb1n1CENDYUGps0Hm6+p+oyjvCM9Ad+dzx8Zsm4WV+oQ2EICY2uU
gd9+xWxDXAbcKIUcxm7YPV2jcXQH8hPwHUgcGcLz+N0sK4H8PMgCZlhQGz+XkYg9Yw0UqBAQnttP
7NkgKnuTauNo7w8xAfB9of8CzH+v4s5Tb2sF//q5qkYqO99a2MlOMOyQqUCvl5JQxDBD1nM++ud3
P1UNQUD0qxT1qQBhTKdxfF/K7jzj0yP+/kf5r6vi/FZ9P4wtBmRsG4nXQmigQDij3KKDUqCp+oxj
tyM9At7OX23Lkl8+/ZEhCzHitvoHar0OATCDWi+LQabpmcUe4bi2lV5QLjBwtm9UaxznsUF2sB0v
xx4TOzLULzflPVSVu/940RcAblJBOX0NcCji5bDeERvlsafrNY74QH4C2AOJI8N5AQcTDsJu0hNG
EAXT/exYhwHWtkiE2/APGizs6RqNIzyQn4DwQOLIEL5YR4dJTkByETETTPfja4/cwicC2YiCd96N
qabqM47ujvQEbHc+f2TILuNNegjGGvJO2ISYCwNyu4QlBkaTI0bsAasxWZNxUHfFJ6C6K3BksH4o
16l/iCVLYEsLO1pOX6vbg8MVNtT80GHyeLpG4/gO5CcAPJA4MoRXVfI9ix/0Px9ewREoxoFhtvbX
rnUChxghzgZe8vG1a5XfotI4yHsjTIB5T+bIgD6Hk7OHyCzBCRnIKkHS8JVUAwRXFN4DenpY2jVV
oXGMd59nAsC7AkeG7mmSb8pgHf/zy5hgMNWY2xBhjecXkH1iQ3BtI6jf3L4G9ORbNBtHem+ECWDv
yRwZ3ndlAKnD7p+He2u1YUFDmcDzMeW9Wj4IpiGZhCApsWu236DSOM7DASbAPBQ5MpRP0+4QCQfI
DpsY4mpoM/DT/+7E1mhbLSAoBbZrF+Kp+ozjuyM9Adydzx8ZsheZevcXhNbx5hA+2ToxbYwJ/+mT
h0wmAIytLdkJm+YRk/1G5cbRHhtkAuhjYkeG/RNl66zL74fhsa0TqO+CvgKQaRpf3hCRCU4sMOE/
339KKD0lmt6s3jj+48NMmAHjgkc2By7hOPOm3BzAgRMKDWSghQwxn/NUe/UgcKzVppClGvYleItO
45jvjTAB7j2ZY0N6XQZ5dpDqEAbpCQtiNf5czgkB2a4fFyeCWoxjoEYfX7ve/PINmr2C93CEKXgP
ZY4O7weo4fznA3NY11DBCXQne64FGqINJ+VMCocyoHxgiPNUjV5DeUd+EsY7EkeG8HVcQYuyAyAM
y5VQBoVAz457b+tlwtaLCxtOPO8iPF2jcYQH8hMQHkgcGcJby3iIbAbU3zMLttbmc6nXMC6HYxY2
QdvQbbDxmqzQOL674hPg3RU4MnQhwHy3gMTGfaDus58LaaSYChJLb2vdx4DwNk0G2+YndzvMMwO8
EJkjm5OBhd7RaIphGYd5fJgJcI8LHhnsl5v0IbsPDlJhAK1ktlwKY88c6Z5vJlDIyygh26OxLzdb
b1JqHPX9ISYgvi90bGhnAPaUpfS2NQ5HnS1hggv+2cVxLy9tnsABK2hHggZVgJdTFXoF5R3xKQjv
CBwdugdZxkCLQaeYX/Vge+fYt61GoEUnVIAODDhsYicRta9h+0J6ErQvPn9kyF7H6/uDdPviJ4Db
tubgufx6hBYBQhySXPiX835pqKfrNY7xQH4CygOJI8P5NtiUB9kmQ8UQNQmUFjzVbJp7OJsn8Cbw
o3CaeYT7nq7XOM4D+Qk4DySODWcIti+hHfQk8/g2X0we+S8GFdvPpQd7+2U4+YahYFtYg1TlNt6d
rNQrOO8NMQXqPaEjQ/tjAAeYVfBwmJIxwU2bkOcWQts6g122E8q54Xgz1JkMnPOblBpHe3+ICWjv
Cx0Z2ncbuU4OQHVCDQIUk1DIYb6SwYKNNJxUh8PL28688Bos7+l6jaM9kJ8A9UDiyHDemksHGoOt
y4fDbJ+hHhBOsSIOvZYfX0OfjeDsHBSdQPy2u3t+u2LjgL8yzgTgX5E8wgkwCzb+IZw4lJchoESh
xGzfniNKOMyKZ/e+j/1knV6HfXeIiYjvCh0h2BdVoN59+B6o/BCQ29CQAFNovAts6fY19OSQyQLr
b0IzqZH1/kbVXkd+bKCJ+I+JHtsskOuDdFoH3w69eGFdk9eO0eITWPQmhxkyWPCTNXoF8135KVDv
ShwbwoGKgi6rDkKSwoE7KEv4eTMGLOOdUB3iNwpdm23IVw8wfoNOr6A8HGEKzkOZY0Ma2MlDxOlw
V5VFBIXuM6+VGj06d2pBUcIA58kavYLyrvwUjHcljgzhuwo60CQH6bAOOWsOwTc0hXvVWQPbhhDH
g7X8Fp3GUd4bYQLOezJHhjTcrZYGKl5XhyhAYXBUx4QjlfS1g7RwX4K5rRxmg/qEt2k1jvbIGBPw
HpH6f4H46xfW/brsb7bW6/njNYEv7qz7/buPPxTcbTgQfc4gj5csPCUtTh/+fA+5aAIcNyzLX2UM
24F28s+/2uz9tM+7ghsIAv98D3cPQm3Zlouh1IKWCXTLpzabX29Bu0g4DwIpUaht2BaVptBmWj5e
ZWhvCw+hxwJGBKpa4C2VVY9vwfFOOGUCk23bvAouxaO/7nG8zuLOz9JfP8zzn9+lVXKdBalWMDCB
6Zc/fW6rrw29zQhkZSl8k2lB/oaBfvn9+uP2hBn8Dv8n9XldxzXPPphm7K9y31tK3+BOSZrzitWd
21RYXbQVzpbE7MlStNV1Glq9S9Lke2nhbKYMtYo7ac8FgdsM/YYSJ7Rk4VbS6p3QaPBMam44rKD9
zGja5LrwxRdp96Vbl4S4rdmfc49clLa14pmwZ7Yhl0WXf/G4n7l9wS/7stNzlkX1Ci6uPPOTsHAi
yz7reZA4vsUuKbY++XZeOTrgN6Jh0SwtgxttlmtINqcut/3PdWLnThNI301bVrtR3V/SlH1pvUi5
iJCvIs6+0LY+FxG6aFh8Z9jJpeZN7paN/JSWnukYKFmlXnPOeutjmoYL5BvfcNC6fuEvtFkwV5X5
Rc6yr3Dp2RWRSehIu13WrZ06MCnWOubKSdtYOgbT84D20kFtHM9I2VKn84puznlazeu67hwvTD6U
TYud1CerTOLAaZvqqonryvH7Bi3tSC9CWnxsozp07QilroH7a+LRe6zzu6jqFg1HiUP89Lq16KKT
yWmAE+14TF3Tin2ShefPc6v7SgMVOEFj5zPorBS5cRpkCxJ0apZittRlf1O2KVsgGZ+1KN7IPikc
rvEnKkvkljH2XJqJD2HN8FXssVXL/dviypKntAods+HntAtDF/JJi4DVmWMVwTzQfTjXRNfLsuJf
JaW+UxUpduIsWKIkTZ0oye4jRrNZqLvQwQVaxJzNOtOfd7pbBV0dOkkSfi9LsoFiwE2Tmf7KL6wr
n/qnbV34TmfWyTzsYuszsSNzZnYcO8wL4DKo4iyx6Wlso0u7kouS+9ECxUE579oWu9in3ZJXecac
1K70vKmNmyBvHkQfNaVrm0HommWx7AtLOUwXZ5ZRYLew8pWgmXQy7IVOyhmfQTi3woafLrOyXUfC
ugvMbFarZG5q0/Vh6sI8El8yUhNXFrq+LSxUzAPht/OIVR1MBMlc1FdoruM8dIgdfxS1P6PYIw4J
5Gkq6IVXK+QkURnOYj+EdcHias7DHC1IkWEHeraYCyMmsWsGfXXe4fTGM+Q98RvrRnvJR15aptNS
Up7mCp5F6qZxjb6aKyuLHd/sP2QZrJQwaVuHyPzaY/aFTExzlpuh5dAQfsCU/q01OlPZTWBZuVOW
/JrzxDttaXbVenHj1Lo5Ezh7sFScO0UXrhMryecsUtHMaI1olvcwPxq7wDAlbH8me2NJOjfs/8Y+
eajLizA8VVkzD7KicwsPpkGdeOuu72sHd8Wl10fISYlx2+bWKkXScLpCfjb8aBNVsGRwmsHczu2F
EsVpYiS5IwgmszqO74rU+yHqrHH9FuYdidnSgjtk51bbF46R99qp/SK9MHBrX6I0uTOCpLhq686A
Oc/CORO9N2v72nArz8tcvzQzRzb1ZV1G3FEsDZ1YBLeyhNlsWz46LeNQzi0PEG+9BDtR199kXk4d
1BPkqKTu3bwzPpKirGYmfJMj+8JzjJo2bhpF3qLudDjLCm2tJOBVW/Is6mCsihQ3iUXO40zdmp55
59lBNkO4PvOgqemc9H0bOCory/BD3qLyayRs1cypSmnoqio8r6o67F1dkwQvgsZLZ0UYqG9c+NK6
eHn/7I6juc/yrgx8+Xxn8K8//u9dlsC/jxfS/vsvt1cO//tPy022PTmjhh/axgS/PvXvS223PvjX
DbcDz/50b/Erbv+3b74tJoDt2G9igsduliMBwXYT9zMggCsfoEk03IkHh7+JtXXIvwIC2PRBbp3D
uQQbdg3bKx9+BgQCLkW14C1oqmQ/Vkr+OyDgJ9s+l3BLiIBBKYMa9p+/wg5OEAyNBARwzeYwIIBM
IIJSeAY7F+hbvm19+jIgaBvPjwzqWR+iPmfdaU+zhHyvJdHeB0xdkiSXRmjgFfdY7BqVvO0s33Ii
auXgNirTQR4NnCYuonkltDVTdmKuzCYKZ7wlpVvV2Rp1ve9WdrDuC9XOEiLVrFT0PE78AhZ8eB0W
4jPEIXqeJ8pyaq6COe96cxUIqmZRhTxH0Kh2GiOp57LU8UxSfV6luXAQC77UiN4EJF3SOCndrJ2l
db8MCg12yUxMJwqzm95vPmc0OwUDaDtBnFEXa8N3RaE8Jyj7tQjLG0oLE9oeYOqIGF9jU8eXldVn
Cx7Z6Qx7cQY3YRc/iOevq7DSbmKwue424LTtWWcX89og/ixO0ssWW1/y1M8dBdHEylJp4kJklbtR
jqRDMgi0ei5KF9XtOemDcI7LflNxb1Fl9TkSzRKxdgFM81IRNS/LbIZDVLvgHCK3rMlGC+xGjdc7
wnRwTy7Srl/1dsOcyvdKRzLt1klwx6s4ncVxvkoif95m4V0sjJnW6U1emufSqFwvCXy3tJObGiCt
EkvOzTYo06U2EF9wmp8hO/meKhm7AfMuzFpcpHWQulbspfQMgtXyBrVm7v0dlrGP54pkfnpj9LrL
lwlKO3Arkfm160ORObSO7rFNFq0sGyfA1b1QcgEtPn234fB2UDUbcInKDVUrnKRuV7qTV1bq8TlE
jt2i0PJHY9DSCXn3jZriTvftDarR36TMz8ys/xbUoXCprcic+dZDgNuzxvS7v2NZRE6gc+ZaBALC
uqwd2yxWoV3eeCJesZIbFxUr7roAHiuPq8Lxff7Ba1Xgctn/sGx7VkkdOXZExVzTzlz17AcKM2se
IP251rGcJbmFZzHHV5EvyNI2grPS65dtjuxZmdSla2Ty3o+K3o2rrl/wJszdsPOX2FDfgiZbZbBs
3JSnrcM76eRM9XPtp7mDaHTaNpbn8tK47jzja6nNM5oTNAtx+Mn2pD/n0LrcUV7nwGqeYV6uYhYx
l+rsLAXr78gkd6uC246k0Q8l9Yc8sda18i5o3Ifgl8IrOCN1nhNZOxDOnadNzBxMSO2GFnNKGUgn
1HWzLNrEc7QE54UF3LQQ8W89y+ZJbJ+ayv9GIpLf9gaF8Fby1omx/YkZ8rbFhmOK5mshreA0l+K0
b4tzz+f5uZepr7T1loizW4PSU0n4B0OoG2nSTW71V0lSrqIM5mZPu36Wo7Sa1dj/WNfZMjKzlV8F
yzKUYh61InVg9dC/Va1OJQ6rjx6vpROk8SJpm3OqVTT//9G1vfRRNmQJf+vV9vqnPm4dH6V+ejUE
iejtqWkTLiqywX3BgL+8Gpyq3V4jCQQJ3+5YYYf57NUs6MGMtkWj5rZxK9yBBL7w5zZ3e54DBoRj
ARwSHnDB1Vu8GtruYnd2uQIKHqCNGYXDneB4t20oXzo13ZMsL6qqvUobIuZ148ncyUjIIjdiTX1D
Dbs7C9s6jeamGelvOrPqT5Gl2sJRIi2+vPj1Rnzstn3LUBtIyYP7h208XIO9bQfxUhsr7fJIyKq+
wkWKrvyoTz2nYhmVblvrTDh1Y1XfWJ0bgVMmXINbDMvId7xeMcuFWs30QWhtfoAxZDXDcYw+9bbB
0bKjtrdBnYHaxe81xhCv7GkMZ2PhUna4BgO6D5kDjQMmAdtOX5HW9mFH0vbxpxoMDllo1mW2U3ct
CmfgHsChMdoFTheZZAmGr0Ozss70g2yVQm5g5PZM6SCrHZ1Is3ZYaYNT8rNQXkeVOEuUgGgAKHPx
WcniPIobu50HyqCXQSnrZPn7p9qHAapWTWjRArdrQb788aFfUB+sM/zGyGN1lWpPfM58sKSOFWGY
GnlatddNW4rb3EPx199/7XauvZyL0DoA7kKGcA3DXIT/26r14mtts/WtXPnpVcp7dIUiWV2lqnQD
7snPv/+mIbez/SYBlxUwC7pJCcYH8yxPra4vSpld8dy01kWTlfHS07yD/UgOTr6oYuBxYI+cuSGx
m+Q/TZrtpNh9UJgo0C3DgqsxoGnV8Osh+gXGJU2CK1ZE9joJK3sdxVsd7D5Rc1pmGezXAfolhIsN
doooYxsdC3XaiM662O5STZc0YRa5IUuTT+DkYSsneddtcqPOZ6bRJ8y1RWaVK5vQvnJ+/+ttW1gO
9WdbswE8G9xFDy0/doEyaWWntu0Zl6jyknVQauU7yIh0ajmk61L/rJFB9N3nIr+ATaRc0MxqAxej
mv3QrO8zt5M+hBxZWG+CkrCH2s4lO/u9kpa9BzLsIWASbRsSQL2mzYC0fDmdaMkDs5SaXIZWkXsQ
A2ghIfLQLRELXVeVW7aFeVMnnV05UgLBUKJ0qXCZL2Mrh/gxLpKPeWwnrcPixv/ShEl22imtndwu
8k9URXzmwd7ZrbIwBLpIk7ABikqlV01uqA+F0ZO57yMB1EbvQXiLa5msbKrjjzj0r/0uJRAPQHB1
pb3iTuPEIDMKrtxBQYfBNlhV32/ZovAiljb/5pmVdSYpRxe939bCbUxpJdA/vwtODV52idN0vJ+h
xjZmfdje56rQt5VpMOk0iWYLTxXVqeVhfFdI1ERLjxkocHoZed+hAyaEfUFaGH9XCUtmea7waZSl
+SkqRPwQ1DmFdU+S6DYQXsucurB8iOHKyoWAPl8iIE8/FE3Szq2mLBYItaiex3Dpue/Wjc8Lt8bS
myeKlLMqFx+kZ/jmDKFMr8DVYNjVmyHdMgnx1zYx5TkuRX5rE20vKwG7qYWiSb/mNCvnymzDflFH
3F8YbWuusYqbH8oHTsPtsTYrYAVx7S9aHWawOJpm3vl1xRdl5slZrAmwlPBR2CFZsFugdVIzJ1Rh
aLjMg30By+y2dywdey7RRposSxrNfavqzJuGIAs2NaUZOyHMJL0guhFq2RLWXtCo72PvpmoKnSRO
F8RdWj5IT2Lcf1ON0bJEOqIEU57dY6ApNCnhrrGqys0rHekkas9EUPTLWlTaO03KIACGCcfZrckM
chp2hFQQoYrYAyrHFC3AlXA+Sz0P/KGOo6aY06jxTaAcNfI+yMKkLFtFHWvkrGtjoS+o0gRmVONl
SDVuBb5wQQ0Zeh9qWDrUdwuec5hwJFLJIgXOTzhxAc7Lm7d1QF3Dg24gNnBvZmq5mfKSxJWiarwF
RMJxMlceRAULO/WT3uW9DRYzxZFVuYksjdipVeeraxUYSTLP/ID/MKqaBUA8ZlgvA4tX/Mo2PN87
SwnTzA6Bf1ZF360U5PdLOc99yZK5p+q+WIhSpcGii2nSrUylIGy3cRcHLmvtLl6WQREYLsCKvxh5
0qMZVPtGyQz+Zxof4tA0FPzkafolTBKRnJJS6HgeSU0/9pUmZBEaGUbnspFAVTlMYqmXXlnn6S04
Y3IW+j2OFlUOGswzHfs9bCraXrg87PLmMoEtiTc3YKmUMw+h6qwkth3PfI/41YzBVjB3AqYgPkn7
kPSbOILE94yDAsmMdIksTpEZWCs/YBHstKOoILMgC7xZX3mR7RhNmYvr0GtCyyVBEfZOkoe9cW56
sbVAuefboK5g+Rx1ss9OZYAafw7Mqmyc7eccJAKRwvTxSeG2TWD0jm4D4+8S2kMBdRfAOsJXqE+D
PnB4bRnkrosbXF3RXHTZLBWFBjo4BZfkKxaBgEgI/FpeIFH6rUdxKs+KLolhD97YfXCOtK/vrBDb
axtYPc/hCCbvooKcApkr2gegfIXCZBaTAhILvPFgfxgU3+Kmgcgi9MP6Vtm0+Z6Xkqxq1vjeHPgE
E4h+SICQhR1nYbtIyxpd9W1OrBulbXSHtAGfaKihuKtRx9p5jZMwWJUtxs1pynyFPwQGE59Ts9hO
zjAs1JLFSqrrtrM0d82iAWxkk4JimQKjew4eTHwm3ITZnYCVLGdAOrXZqVbCw9dhWUXRR8xTYZ22
VthUl7rV2+BTdu21DcxQO8+aBL46y7acbAuZhX5pRmz78FvVG7BPoFeeoCvLTuEpqsKGn0pGWdS7
Iqph6eSxHwU3aclgyZcVRAU+vAc2FetUfiiQ1ZWpQ3JpAtxN2VaXiSFz5QRmVbSLFnq3kHlXF3hr
NGAxufBEYEBagbZxsk6Tzx5cF3LG6yDgDpd2BPOi8+m6SQmo0ZZh95Ho1lTnPoS54XmWp1F4y8Fb
LFVqoqtC+MU3uACKAiVryQCfZdwX1bknM7+edSUrGghwO7LMMfysrsmK7j6KI/u6rRTsSwuzq6Mv
DU18tUo8I/nR9WJrQ4ICKALYB3AyD3An1SKnifhimF6ySJrcLxxmgZnrINv0Mci0OhdJFEImDJcY
iJkYLpB1aonF5zI0an8e4xSWSW94RJxaaYaKTQIGuTuDlr+wNpqtxZ6HtgG/aFv39RycTFOco7IC
9g7YDl2DpyW1CaF3Ef5dilrcGR2E6We90CV60CrtlJMgxOrToMEwVJsg2btWs82x5AALJAwiQRd9
Vtf6su1YfBvWCjJDTK2spK3tVd9QACcykeqXeRxl2WVKW+vC0KaVzWWRJvW53zW5hMycSuQdRCLq
wRQpmBEwnap2Iqka5Yim5gV4ga64jf0CBV9R1hNeOz1EYN2nXBNDwGDKK+eSGZF/Znh58136plG7
MVNAmwRAl960ygAapqwKIBEhIQKTNMA6JNdtFPf2VULzOHaKvDbppYWk1bodRDdq3sgcUGt4GvhO
2bMEbIdS8Ry1pC0hlwAky7LnBcz+yGp9yE95nalcL1e0+NLYHboLZQlzDTwdEJmxn6jrVKQIDCzO
RbjgiaSN01bfMK8gUedEUc0+2Tgtmllj+9q6tLyY1x8LTwnITvkwo+d5QABN2Dh07UVAdJRdsDKX
5Bq3ZkxPvTYT8Fxta/iXUWnkzSxRHtgMiMYqfRnHQO85pYj8hZI8krOmNc3TrrBg3XeUssCxIOt0
+RiVPqfqr5+C/Kc880ua/iVrP4X+vwzuy0xlP/SQ/98Z6L8tSbA9zv4iiN8rHPgrhpTHw/olA7Ot
N3gS+8mnYDgtvb1egYNL53D/M+xNfvEpUObJgBoxCcEmQRje+pklgIojuGwUzvJYkC0AKgbe+smn
wIkvaEQKfdyhrRHcLwy5hTdkCWC5D/ZGNtyrhCkcEWMQckD7+MHWkrd+ISouqw8h8KpnPBbWZZm2
5zyNC9euys80SSC7pKNVmrG438hMFcZN1UGOs+iBVYXk942QeeroqLvRvnWWqSRbFDEkpFHfAS8Q
IWMZxLXlWLlc+FEtTyH4hBxq7lkOmAdfuqIu0kXCgK697fz8m5Bd5hjQIwYStC3ka3OsrLO6Nfoz
O09b6bkd74KzKo5mHfaMlTbKH75Ie6AkTG/ZoQw2RygSp3Hl159zwfk5Dmh0yUkKsX9wm1eQDp3z
pDMXOeLBrC4Nc8Zqkc4y0hNg1wPIPVIB5gKJ84iVel74yLU11gu7za+4DfRqTTKxqOO+dQxPQ0gh
02ZVNuoKKSVcnRbfysa/6FAzl2Y3wwpfmpZ/3vRaOjqE6oYATCEQ3xwqMlQ1TwFhx/cMyACX2v/h
NRn9Gzj22lsUdiEd2BNBuCoVWomy+igjcstDM61OcyoNfROgtFjBrsZNC0lXhd2p9JZqU0DOoPJY
7RDmWUuCGki32579I/Kq5nRbD7usIDk565P0ugvVFaR8ztJYXhUmPufaWGSqOTMSOst6MDVF6piQ
a7SD/KFJ8cdAi28HMTH/bcbDfqzpfz3D+FcCN6mVQ9vxJPXLdkDJEbSVxja0OIP2wwiqwX/ZDihD
g+IhCmm9gengJ3A03yRQh/SYRHxJxcLZfgR33wKNBIVC0GGHvcV0gI3aMx3/l70z27ET2bb2q5wX
4IiAoLulWV12K/vmBjntdEDQBERDAE9/Bvb2LruqdpVK+m9+aV+UVJadyVo0EXOO8Y0J6kkXGhio
Etid23s0fxYsxBCsTbCU6sZt/YcGTrangouOqttmBvRgN7ObuejnCT3wZeF5txni5WaN69mUqTsO
qJcWa3JU+HcuXdesGiKSWqrDVK0E5M8IHS/B7+ojURUt4IhjwqSXDlV7Lzerfu1FnBIxXzkjbPyu
hxljN2vfmYMyR5/Gi3aCdSG1Ha9dsAAYGhhcRdPaX3LP06kIPThEpWKFt1EECo99vIEFYVWxdJX9
Q9XHWBM2+sCV6jgCRyhjzQrVoA2IaPcBsegJjbazGSUHAZjB2aiGclRX61ZTrwF7h5DO0zEwSyYB
Q/TyyMkl2QCJ6pP0M52wgxAly+1kIJxtREW0NG3et3OTe6saigHghV3FkM5afjFAMogeLHxCfCE5
lUcFbGNxoiFd+sJZLw2IjpnGbwEID7GhHskSuHkC+kMyea43HIROMSTzmdw0odxQEVOQ2MUl8SOV
asbUMdrQErTPd94GmySgTmbQJ6qPUT1vQEpNKrLzNkhFRRNwlVCaYiiFLtoNZikbS1LpxpceOJfF
1DQNZJXzuAfmpMATbVDM6EPvixU2kTCBEBOi+i7YhtEw7fpZCbKGOYKnoh72o8tPqokeaLJ+IhuQ
0y1Nql1d8KlKcuFVDbQeCacNDI91Jw9+2XjCi1IUrt+4T/yOZ01Jevc8UN3fxyUAr1iqdGjEzUrl
51pYcfQm54wb/FMiapFKzvpT1ZAXOU5XEgJC7sQUirj1P0BvfUzRsuyUnkHEqLg8oKd/7/CIpgIf
JWuw04DHMPeBx9RFF7unifPXYU0u1pFgDRXVXljnclwW+MgugCrNSpKKprSpVOpa8xWPz/RQsfJ9
rKL40PtQUbjT3ZerX6FDM8+jHx2bUbNDHIgTVvI2FUvY7WLVH0MWPMrKrU6T7kP44+s9fqe9HKdg
QlMlBHzIUGbfGuhJQgkhyXbxZiA7bliGOSnpsxIcMN9qTKpU35+UZ+ZsdqIorZZ6TFvV6mydlXhh
bskOfVXJMw+DJLX+mM/9Qnax6Z5iD24k0xV6Fg5AxhM1LtDQF2XLQSfVTY2nXXtHVW+8FQ+rXHrm
6K6xexzj6hiRst2H+CzpGPpwQrenNEbdrbheUzH2B6ph9zphzgVAH8416oPWIXjSqM7QX8/pQqso
T5jKNSVQSPA/Dg3OnCWpUNMjmflFIM1J+Mt1QuX9FAHGW1W3r5yySfsOFnzfkOtpNo+1APIHHvLc
UXPbADWIm/lKdeuLKtHGNfB30k7wJ2igJzq7h0WpBx2Hbjqa3k1dIXwQB/Nlo8YicqXYdQvAQU/O
V6X0b5t+aYvZkiLyhpNnTJ8uysCeLt9qRm4gNF9DFz+PPBphcqv3sgzm1DTrS1spH7RVHBcQAd5U
F6E5AGuWam94EBW9mJ1BFFOLuwZGyNI8+YYHh5qGPXjPDSyqBCS8DTX67xbufgOHseX9xRbeDnX/
8SdbOH7qxxaOcTmYheQjy+eB88Ve/dMW/m13x1sDgu+mKXqNH+U/SCDIUz6i/gEmqf1CDcd41wTe
4oS0KAbooTn4Z3bqH0wH1A8ejDMfSjw+J9nQ5Z/3cCYjy7kftzcOGV9ZDbxmNe07WYJjC5Az5eEK
INYUUdCl7hTtVp9dJst4beMOSpLtwObVYwdMxclkZLwdC9ydK/x7W09eEUfCZBNbLl1d5qGDPWyj
LOrYG7KWtJdVMLbZ5IBzaNSnLpzBkBL6pfRqlQ1OxzIWzBdzPH0BKYTHoEEtjUaqCJcpSMnSr4Vr
nBZMRjADlgC6E5nEZHRxw0yLftn1Yjl7C4APj7UXZg78FC34iw87JYcy8kW44QlO25CPM+gMNqkm
7ZifBhXcpz5KzmtCnqdyZSjU6wZ2i2PTNtL4Y8jrbGWDB36VlUBSjz7TuyUSZTpCm0g9Oz+tFbvS
UX8xlMNFhe+ENbqWaed5d7Zu8gn4aNH03lVJvIdyaTVaCdNhJ/ThpaoJdk0DmohS/9D5S52V8fAc
B9LJQndhhmXBNNbsXnt8eIMg+LSs1F7oWN0Mvlb7llio/qN8mxlUn77Zd4MNU2oCYLsWbZXxSy+t
yviqYt6TP2IxMbW9cTApuWgas+ZesLJiTSC4MZk4e0eYO9+pvgRtKfYQHzMCSfFChJ/0/Am6644O
4Se1+GJvpLvH66FZIQfbiaeEVP1964Ju+qjZ+sXO1d3qY8+OvoG5jazi+JMk/LrE/X10de8eZu2J
G0+WyQ3tSnVakjKjCZojG4UHLcGOupVbZxVNlmufr9A6atHZPWybZ9vbPKq76sqfxQekHO/gCpaM
qQxB/Hw3Ev9fqyH/H7YqeOz/8zoHw0H/2TKHH/qxzEHlwGy/baS663ueF/7cqYAN2RoETC6IQDdu
Gfcf1AhmXOC9ZjA8v7cjIVbAHyoHpozBAoU0EQQ+Jgom9B+1KoBMfnWAg82pD8GgbIkLChf712Vu
GmYF56fyb9RMXRQx09EudMwJ933cKeNO+J5Bm7A8R8DvcsXoZ+nHlxp7aB5s4i6f0UhrWV1ooOpp
7/ZgJ12Zxutg8llN17ME0kgTKTIhzPuS9K9VDda9a+8ayvf9ok+e792NA3oZPi4mTQZPQWLwLvsO
3glzokfVJCJrk05Ddi0fV8GfA3hKqCvXOQvn7iZg/g2xYZGM4hS147EJVv+4TiVQzMaLs6ma9+BP
Ci8evkJpuTOWBaceIRAwv+9xvaSJWp9maDNp4wFj9uHfpCHt+twfysydsVBHQ/VkiXlrQClnVVMd
PCP6dFARlq4KRqBGXZnVg3/ddOOpbaifWim/jlNF0tkRqAzb+KbuJDowNt7wYBpOc6ehldbobqJO
NJCDJeBMl5XXKhRujtJ6DdORrl9jb2quJxp9Xmuc3KHsqlsPSmxaKflRQc244qI9BomDYscbln3V
q/hG1XMHZt7iqiGfkkqmWdYAFIM701cpSs9wX0/YUkIJIZvOEbt1mU/268BZOrK6RbPoAx63FrBi
57PCXVp+8P25LZy69va82oiKFXxAOEO/RzkHG6AkOZkXrHRU1TsKUHJHrd8WstPeXgu/K3qfX0KR
uVg1v2l6ctQLW/O6i7+WK0xjHnW0cFTt54tZeEHKaNk3hrWFy6sYJ4IskIDGZK85sHY+S7NPPKjo
HZNAJOA/3WE1jPdmCKoCI9z4wXXLMkfmx0+V7zu3LYYNpN2KbzrOYZjWSArtYuZo4Ik2ThfBhsKB
qwWZuqlPAVqDPfOqh8VTZ2PcvqiceEmFHvCmNAWPpgrhpI4JPQ0JdglGNhJo3U5R7fVvVgX8sYeF
l6oq6Q+LAfbkzUykAEnJTRCje66GFRAuznvqS8ccYos1u7IUzX5k6i9NV0eQlaKymFjnHFzNdyZo
i7Ls0U1AzE+7pJcpTN8uRfNlUofbOJdD12bhxMPblcy3fDZ3oe2aQgGlrbPWa68BAegDfKKvul/f
NZmqnR6IAc/fyqsamn/mz2HeyjE8hosFN+lE0z4ue3rnOeapToR2clcbwIyVNxMCiHX4bPGpotVp
4JrxFuxvNe6denkgjiVgX1mYuVNy6oEXF9YuJE0mA+FRLQA/oWbAgC3qvndODgX07PuPE9qYDJLn
QzfyU8T7s41U5jjRlQreysi7MCKcXtD+f9hQX87UcdIe22QeW2MvDQzfQ5JoDrQZFQlr3EsPR6uG
6mKa6NcR/igSJ+2Va12STkn0tMbAW2q+xqgqui8qAvMCS/wo+HILIPAS3DZ4jGry876LAWPWBB7g
VAX5vIg5nWp0fRL/vFeo1iLlB7tlwSUkY3djHHbfzuWbK8zrQLE8xO4w5VEjL2pLPs1NGEIg8YFT
KMF2xBDIrj6YICqLiSvoJisyTa2arkBSPxsE5PPIoedkjuJUdFF/jIMA/1K7CEk07ZQNWlwY7h5g
pfTZRMsdd8V4Uyd6STns8tSZk1zP8kOVIbjeqc5BM4SvUDq7oBD9fNV7+rOg0bE3wQsclOBYdyTl
cn0H9wG6QcwHfOl2V3kgMjqy5m0YXVccq0wiHPRrNmsSR6STIAdnDA+LHQHs1mBkanuLuN5l6yko
FnX7ruPkEPX+NWHD3qHjnoFqwDXN5pbgz8GnKq7rTNXmq6qjMzApXUxiOeoN0jYbgE+bWzjRDvYC
k7X+clHp9rYD303q6qEFWleF/SHaAHADErytdQYbUKZ9qaK0Ay1egrSp2yx21QzS0cvQinyUBtA2
9jFn2avYUzH0n6bNWNjfubWUxX97wO89ILyX/1wbIXCmv81wVPoPRhDEXPzsTyVSsL1wBiFRQlAG
oUT5t5jr/S98HswE+a0O+q0TJFtFleBdRhHY2y10/KNEwqhtgocB7s13pfefxUXcrdP7GfJDtQWw
MNnqJJRk3/KtP3eCSRetSQ+x6KadaiBQmRyFe2pnQk89qhGe8bB7XDjDAzw7l3EPgo8HHdIbPMyr
3kFeRPOHmemLJp7vJ3e+XEoIn0MVJincUdjc9Qp6SD/ZbrmOOv8Y1CGyW6VIx615mWfA8CbMZnSU
9YrwWYdNCAGWBGHHZN4jX/rVj5nO7Dc/om6WDFaqV8jGGRG8oDvDeYwcA55hBBFelxCaiGrpUmCZ
6HJXDg80hKpFjeMhaMkyf1jdbLE6pWycMtmXz21Ccu2FUGmVyoPavoemSXk5djle+vcZSkydTWH9
EoJUSMHXHv05BraAXQw8zkvI6D6OhjUrrb+rQPinvuoOXjgF+STig5rhoS0Uyw1KkvdFlO+dnm9c
UY0IIujX2k3qrKPNvmnmI/bOfkdmK0HbYt2J2fCFuRSrMulfBhEgS7gt2aXRH2HprdeqWT7VQ1Be
YDkHEBh4XYpdqXD6mNx5KN1yCpwsqzfwQCCKsbe2uSDBOCErhtAulj+pd8Aas5VGNVJukdi1i+9m
LeiyIq4QWWPJirbR69XV4sZz3oAE3sUQZvOydZZMw2RIpWoqVE1A3ha3LoveVfUF4pLtPk6svveC
aX2CKF/lwgUm0qjWvYJkCSnBNs2rkJDPsNeELwhXdndKkvFchV59jImcL8ekRORvacUJGIdEGUAp
vyxtP2wU03xp5Np66dq55fsc104M290Zj73n3jYiIUVV2eHRXXDi9yXY7TeHJ+wrjRGz7DbPzerF
FA1suKWDC6A2Z27aPDolwQfBtNPIK8ww8UaYeQqmHlCuJHNGcy03v6/cnL/InaDLbW5gtPmCFAYh
3ZzCsXNBum7eIUxE4G8sbTZfsd8cxnDzGlfakFxs/mO0OZHimynp1ffRd5cSfqXYnEtUh9NTAoju
GCKvllabw+nE8DoVTM95cz/BWOXz5of+dzH/vpij8fvPi3n+0f7PNW75P2t28YP/Xsn9/8VDj0w/
+Zer/9NKTtG3egCVMBTmuzr372YXbbDrIhSI91Jhjojng8z/10qOgeqAtEB4o2/2sQv8M0sfW8wv
6ziFkoeuGtAB3HxK3d8Z+ro0XLVr75171DZuU19GrMn8aSl+OjP/AkN+HjiAcWW/HAjfBKMpty0L
Yw9Av4OQ/bWnBhfboNRv7DkIQOloYFi0CFZz6mpwKsJjDZjACAWMFjfJYi7HZniMPAlqDPZJZkGX
Fo0kzcUkgyTHMwREfNF16gTDpizKF6uGIeviCl721qNWqr0fcMDMG9qzcGukhaIePM/ojXkMmirz
0V6h/4kvxm7OEnTnWQ9wKU+CEH1d0+/KcNohT6JzA20vV82MIp0+O3F0lVCTpPiaLxVtRYao/z04
7Tunm68dJ7jWNeINrkXNh1TFEZzVtS07hjWEPCIB1aYum6bc2/JVZtK3wLV2CH08J7H88Fj0xrrl
VW6B+8ZECO8t9TmQ5UUIFGkHjfcQJqXcq0riCkn5KEJ2qGPKsraqLqCJvPe2anZT5w5YNqAFtmIe
csdsjRYizzui1zfSddvqzW9ojIV5aQFiDn4+hs2bicijVOxKzJ1JBVnuotHsUU0cwH856ObB0Frq
1/BqgMtWXnDvLEObdXqMsyh5SzSy7v6cmxG7lDK0SXFD5DHSq7h+fI+U+9d4gd7phsGVMxmkx3qI
CSMymCRarj0LkG9B6NNWpN41pD2Dm+M737f7taNXjJUs1YTukwnntrIN4mZhMOXDmLyhBDlAdrkT
/brk/qqe6hDWGQNDlfq6vVfWHEnQTLn03c8uxmikzC5PbV0HIJzXG2+G96UqPgH3kl9I633xbAs2
fiYH0SZHmOMEQUu7h+py2wGInxHWuYz8tc/Ctv+88uGlilSVdaF4QMSR53SMmoM1/h5SQ+b55Q5N
FWgu3GLw46itgJJV46eeCyZ3a+zoJQvCWabEnZt6ShdPgh8EEdjnbmR3JLZbByXnU9sGMIMWkrkl
EubU/2Ld5FgHZDetGDiAzM0wPTWBv/V5lrhrGtQQss1M6rzh3tFHYp5AMtHbOIV4/ISg7h1pnI84
wWUaEb4TuBvR2U+ox5SG+WdzYRtydLoAGoWdLmOJ3KuDCiuoGzRVaqo3XMa+hjxSxcyGK1a7ZaaG
GeHgDZ9UlwOHcK3VwVr9gnQAwvAJzybugjIVV02IR9bvmzNc8IvWcY5rC0mmYlVVrPMC8Wyqv4QW
zD+33AcwR+7AM+9noT8aRHiz2aDPDYcXKws49MeKSoCtzmEJo08zd9/WYGmyqAXMuLRvLb2frILi
YE6DYGnrIELay8zbYbRBlVCN+L1fWJ8eJs/fSVJB3VmHae9HXO9cAs2LTfStpwRwsbB56UgJYXzY
G9LfLMK+SsGhfSz0Cams+GpwwM8/bOURi6ksD8LrSPt3y+ivEMW2imK7oMi4YmxMgHmP0EB/LruV
Uj4tl3A52yWLUrovT/O9uDpynTqf+uehaI7oL9PyAjFTk/O9f/zrZXwTPn+r+v91+ASvZcErt7xt
HN2vh5elCSYnNOt5ij4N5TFxdZrMb47o0n9+HLz3B0qwt+UH3d9lpRKNPasGxnom9SUiZGnbfiTs
CALqb47z6+73/fvgfGIPJEgkwrX/9fuMmOURGFK55zC4kCFcEUx3oM9//V3on12zn7/M7w5iKtdV
HvyS87RTT7D9i+ngfonzjau46nCPpXeygGq68w6P13HeptfTVb17UkVZ3PKTTQ8o7i91jn+Yix3+
K57++vN5vzJ930/CBvNhjBXeo4YU568noUUUB3ltl5whLV+Xt27hXpFndkJ6BVMv8iU9vZL9nF2P
O3sIgqy7QIL9FprbDh5X9u2j/NcxIbgn/nMhiYkC0Em/aNSM36Zd/TZRavu5n+pIsJ3uNvIhTHCl
UGD9WxFA1Ba3MPxf8KSoNXGFf5gmG0+KXC6GReMpQpIRT8CPOhKGskuQcNt+K+ZBIbv7D9DQX5+k
YMuz+niJ1/buAFS0UAZ+vYm0gdaFmJE9G/fE0P4vd0Ltfzopf1JDfi9Gf11+XMRQaQLuCq42vu+v
ByGO9Dlv1HD2LUo2ldJAYZGufK/3z5ULBGcrKebmdhV1GF9vqbcXySKvucWY/CWr3G720BsOmULs
YawAVZdtEfp1sdZkSc3qZ8vSnkuEzFrhIAyXQMQT99rFfrVUpFjH6G6u1QFAJvrmDpmNWpM8oOMJ
8PWNEzfv7dJ8ciCzm2E4Qm58weAikq11dcO0KmKvPUYVkHkyy6/SRIDka5u3I40wqALxCAfbRQpo
/zBOmPNgIv4Ipmf0FcS5/oWF7hGwPBp6MpxgQn+0iMym5UzTYek+ygE8W9wNYNTcGeaAkjvwsZel
jmwe9+jcpfVAPkXu+6z6k0+dLie0f5gIOyE09yjnqk29Wj833aKyarGfVUhPC5X9buTDVV/NNk/G
yIfSUQZZKeQ9XgYogbSB4mKLf9UxbKpa+betxUiHdTIvDvfRsSNFgJdzQpT39FfAKdAba09gIphA
s0EvIisp5lGNddo2Iz+EyMem4PtZNnPTF/XgYQzCFDcggddngnCij8uZCuPcBdbp4Y+3D7ZLMOgn
bl6dUVJ46cMRaRB+3WpLssppTspBuMAlI01JzC6Z/uxzsUugG9Wd9TI6jypL2v65XGFhlWMMqJeR
k4yNzPUU7dco+DzU8IjsIi9MRD/HiC3kMa+/xh2GiTGKROKokwc2hl9pbRG4qT/qMbAZUfxQecDY
CFQfwbrz5Kl3wjmibFRD7Gn6Y1sjxEUnvatjpN2Mj6KBKm0L6rhJFvTmbBLncWIGen+rMSWhkgWh
1T2b9ZiLiJmsL/2ipZBlJxYVq8D1S2J+72F+A5hpSPPJ9Ny4MMzqJfzKefIWkGYbXIQyx58bTBwq
q+aq71qZMV4PGdaVR4bERU+DATSbf8PaKMorgbQVmee3ibe4e+yIiVMW5yOK1tcmLFHyQnWfeP9B
4TTuJuk+Nqx9VDVmIc3OBkszfdVFzlftxK+wizBIqqkyjMFV4L9KZBdglYTCK7S/NMfhW7FkqRzL
w4CzkaDrGh8CZtcUSj3u8qRtHhvkqo/BOvNz6NuHcfQOzjp8dKDZ6mZoMU5s+II00KjTCG6q0TF6
CYsRMbLmz5RqaPVlm6nwqU+Keb9UC7/sNsjEce6k4QkyprwdYQh0SFBOmGPmRLPIkdcUmWqDIF1x
/zJ/QCHqX1GMt8kiCeQBjsyAZ3ObmnWtRPRSxcFH7WJ+AJa1MaUr2XXtALt1uQDZ/8mZzYXVNUaS
mVdmKDyL1b+TPSnAqt4J4h8tce7gnAB/YU9eE76qOIDw414klm3M4Rm5uqtV6d1qGoR6li9mQhix
injeKN0UMASyBhBspCRotzjYyWG6jjCvQ45Nm/rrmld1YFORgEfkmM1XOs7NouVTVydNUXrqQwHE
88b52VEfgcGdOIXRzqdwIrMSA0K6NCktJqVwszhO4U5L9BSxad6Po/QyzjBPLYgHPVw3vv/SCYpZ
XStotqlHhrPlWLfSRtBhSTtY0Xu9CJnFLTyi2O+emlHtQN2+WNs+ITDw6nbSv3VNsJ6x4Y072Y6f
Ro8cK+l/mcv4BknK66RN2OZF1RBFEYusxynOHN7Wu27tkgeK8OIV66r7mrF37oGHsY1pL+S6RBgv
pFEj9+6SUV299h6uoq0e6lrwPPGdk5nUi0Ho6D52/G5Xbn3PgM8Hjwt7D5JsWANAEoW5MsN642DE
4UPI/SVflsQWTIICxFOunstEmZzqqDvgaY7zsdU5DafpMBFt96UH59/vxLK3vVtlU4sZRkw3NR72
OjhYiMsH1UxI3ek7RatsDMmeT3RKhVMCQfUBMofkYQjEiyTzPQtkeIQm8SISuNOUreX1X2+7fywP
XbSC4P1CvAUqwnzKXzfdsDUD1J7RnEWMoWLkhscPIT51APWc/12t/GsVsZWiEMkwMwCWBxAQVOS/
HkspAbTHKnuOy6JsnsZlVzl/U+7+3SG2v/9pDANmDrStNa09D3gwwUKn1fRGh/u/Pmd/ehAE85FK
DFFjbVXXzwdRFcR53lt79uXDKC5nB4Tm37Rif7wsm5742yG2Vu2n76ENEoqEzvZM4/tu3K0dBmfZ
mz76xJe/OdJW//9adf16pO2T/HSktpqCLsTEwPO4rCnpQ8g/J9Nd2amYutPa/QubQrbrz0eR/bHH
JHjjnIfUEgA9TD37XTuiGZ9XqYmF7flCNMYThA+suli6l2+X6L+9xtYs/+deo2j/JxcSYZI/Nhvb
D/5oNgCiIjOGuIaPGSK/sx8JXt3quSBKkVyF/4fr88N+TPA+dQwdwVvXEZWFqI2/+mE/xv+Lh5vC
gUQ8AFk09x+Nr6XfHqDf7sltfC1+D1QQF+8fjOCG/u4mGVk5Bw6ZECah4sluNPkErNyBzJ5GXMkz
hlKAOYcw9xLQQWdJ0I6pjvC0xx0IKeVM/WllIKswg0dCVqPPmFMZ5RIDxrIBo0F2KwWM1G3xcQiw
KG6pEcVYJlM2bpQ8By6P2D0syTmuYEVGjwmKEChY/S5cEZOIgNtjsWMHCQBf1/NzaTEja+LDvRQV
YgxOnRyIyz73wPdn370AaXMt3Aru0Eb4u5KT3RJgwxyA/7e23i9bHkAgGIARp6+l9k46HBRi/ebe
nVi7QwWKItKiDAF+9B7C5jzoLXMgMUJgl4j5IxThB2Yt8RwAjskVogrJ7L/0nuhPg2kFgl/xJwzw
uK22fAM+5uek726aAKyGP0WZU4VCPM2YW1Z4Ltk3BHhnAJYTPMWOCXAHJcZxrkH3EbakmDfuU7TD
noIEjaS9s2HDDvAs47SbAmT4LcoQXjthYZz5Jqqsn9agS2tQptOGm4I6FgCIYpH2G4zKQaW2kz36
oX5DaB2p3Q1cNTCB1w1ljd3lKW6B+5xnBeNt0PMKWgTyW3JZOcPX1VQBkPeJF4obTHmYUW/QtZ33
XV136Vjz5DiMS3XrN94jyAlkDzCK4uDFVbqyxn9d3SgdUPUk5sGELbvG8LzhtKI4QQTZaQ7YgQvL
3TuC4akQNGMEjzBFN23c+mmbrgsIyMSp72Cip88wqQSDRuY8EJiw4jjizHhZpqHCKLjQfcC4EiSg
OBI7BiZMG56o6XGKYUaXfH4egvpL5HeXpcMROiDjCJROd2nkmE+0U5ihSv1Xx2vfIOWDdWbRfkmo
gJfOD57L7tGVq3w2687x/B6ZoXi39E0+8wipoeYyLCOMucHAKYzXue/W/qvbirjAZJEwDYMFPE2D
SQyTwz+T0HkJPHA91XzXVvpymZwHjGx+05DmYEgk6Wici3GW165fPs49v1hsh6tVek+sw/C9SpYP
GK9yoTnO0OAxuvMHaORNnFz3Hn0tI/uIjXRNW9ZyhEgg32OcxruiyZ2V/JoNcueVW94qmm4soXf+
gu/SlfWtVOSIPG1G4/jEkHQyob0YnOCdLfpps0ZYH4AVDG6qej34sksHF9GURi0vgYnjPWdOlzY1
ABgsc+C6RwdEwAY0lRgRkk21fJGqO/nJdNX43rFy1yfTA76bkMHPRt8eBxlsg382DNFp78DqvWOS
DMCeppWo0eL9ljkvQN/ERamFKsBJdDs0PoeVYrozHzqOQQ5DNitkYTw0VtuKi1WKiKKh01kYF7Nv
kX7dmWm5ZS5SQATTC12cAqxJt/4SXnGTfA5CjJQcovDRC+mVT0ee+QZs2bQM8NC3JU5WK1ox995L
+l0bVZivPKguVQBDExK0hw5DiUmrMWS602EW4n4zK7snLn2POvBDzIuv0FKWe8YcZwev8I5EwDtH
1hCMYIjePcz3KEjfgkEPh2LxMYmjqz2K/mLZNeCXpF7Lez6uPKsleejrqQe3H9Wfh8q5DjFLoEB8
FKB7/Wyr6UYm1aEL/o+981iO5Mi27a/cHwhaCPcQ08xInUhooIBJWEFUaK3j6+9y8BWbTXbTjIM3
uGYctVkXoTIj3Y/Ye233x8K4fdPB3UYYqCPUrCsYYq3UQH22S/6co4ANrxYznFedPZQbZmMn6TYP
njK3NMrmAoXptVxij/nCYGE2Xr4FAzYXZ2jf7E6r10vf3Ig4u0T4Zyx8NBN+GkMZa6yiOWaLuUlD
kdFCylt8NFc048g4lC0nwZ/j4tPRmUStGmXdkWOgszXoHyxcPXGABgaXT6LsPim+DH6b5ZunnED1
/JTL8bYakxueB14EPEM53qFFIpvolMR00ItdrwxGk9fdFziODLs9QgU6CX16LEy0LULe2DiUKk8U
SD34VCvzkpPZrICUocmzUQ3EyuRU6GZHY2v7Y1ztC3xQjTJEOTijwsTGMqDMUlLZpvBOYaCqksOi
LFVaCsHjy2Sl7FbIkM0D4sHY9zLMWKWyZaV6A+VVWbXCiZWkMm/9U5V9SQlUMNd/r8p+TS7+c0n2
Fef1/bfYAJ0SSto2exegv9TNv81/mfK6CNUxDgn5q+zrXyWZZdhABnREYYIlB1/1r5LMMbDxfK2U
UN6gp/8b81/LUyXXv5VkbKBVqIlD+omq3v+w4B9mLLydcMbrbhpSeuv0uRxYI6vPOL36dW7UyXup
Pv/xbD1Y8MTWg6UF964z/tAifYtuTawWdX6A1dro6kTJHeTOcRO8Neq0mTLEo0Nf3AkvC3e6Vwa7
cQiuXHVK4QR+66343h6W50idY6Y60cxKrKcSLlnqVEdLnXq5Ov8sDkKkQPf8LH/skPw2Yw+mRZ2a
idsn62Cxr7rUexTqZC3S8CNp3Ss2ere6mK4jVrSlQ202cCibrHa2giKJTni4mUxGLa46wx11mucZ
M5pQnUX12qr75EAQAx+eytgb6h7w1I2QqruhnytrY6XBzlb3Bspwbx9U4gGWE6e45/fYmPqqxSqo
bps4h81sQE0CmoPvhitJeh95GWCM5JThtnKG7luvA1uoEsSdrOyHVT8HGQzePlrJaf4cAOwMhrN1
LMphT4+eQgN3ludq68ylShbckiG3ZWI612PsXBx1i5bNU8mt2vfziUSGnZYuvtrt19y+4JxuTXUd
h9K+c3mFghgZt1Y2gLSyS8MNbnOTp9MC0Bx1CARernmP+z7n3k+4/01VCHRDIbZVbwCAoUowmDFA
s2fNvuhPwH2zFRij00JlUVFhVFQaoSo5WmoPyszXiVqksvrzRG3SwajRqVV6apbMS+RKqjKmqUJn
tajSxoTfjCn3XldFTy28K96m80g1VCs3svhhVJJRGH/OSMlEsEPrmyK+Lymm7ISiVKe8WhJoE01R
vlqF/WKpCqyYp++iH3m+VHXGODwFh1+ejSH7CHgivcZi2kuUhkFp19vzvrS7j0Fj/mdG1oOkCAzj
mBI6qG8MHZmhkQ6Tj9uFy0zDCK+pOnK2KFB0L31KOl6kpdBgNESArEVu3tENbLwq389fpWmrqtQg
HMOL2VO2ty/YP4h3sF5y9DKlKnAjOEyrpROPsPaj23lsvEOQMt4rnXbaiSFAp9GPAsGikWxmVULD
7/whk7HzzqMBa+k2iIJk3oB4q5fHQZYID+QwuS1TrCAV98ymWWBoofUUi0TdzrQpnmSQywh4YsTs
w/iBmZwkUMS8HagxTLfUX343NtkxRiO+yYfAYJphvZSDTDasJ6tVFvFIFyNe/2gCmokPaA2q34fC
ON271WSvyii6nqLlw2RkENeh68dxvdVxEPRpzu5mMtAaYvLyFWGP6fZlEmLVVbjzdPc5lgVCTAnp
2AXn2HWH2OV6x0KYTeVNFvfbasAZsWgt3Ki2gtffHUVUhJcsncDF2ve8usYO+8OlTZqbqe4fvdSj
9yOFJAzGN5YpTxh8v+W6w5olqNdJhlOhrpdla4/xk4zY4pRLDhjJgqNFobKCVkttHGVnfVx2/L/o
wuMED3knXyoNv4NZa5vGSsFM1Y9V4jxVdXyVNeKtaaFP6rlzbXfe0e6pS0UdkSFRY7KfO1yXCEje
KCnuXLM48+bVKy9ZRuoj5zEfBsycmdWt5ehGm9qF9rpoAkEUkKEkZe3Q8WGa+egRhXJpIzzZKJlw
fnR3Sc8pYBpHNuwnpKbnVLJXYEnZrTLV9gZD7hFjQTfQOy4aGWTzzPa6Ty1aUJN6dbLteo/WC2xg
EXgahuR+3psFZKow+K7N+TlKl0dttkx2EfO7NtTJ/YwCeN2M475qKYXy2Ut9J6zfMVuhCGv0al3m
xSOrlVNUVe/xAhA9NPX8YSqavVaY6Mp6JtoV70bmBNu5JzHEDVyOjfHg5FXgB3bPEoLboerePXOE
PJNnPGtt3o9ylemh1hwb3QBXo2dhsRG2127bAIzaq5m33f8nptL/QRchBcR/r4i2eDCK/zSk4qt+
G1Lhbibz2kUNCRlJF8yvfquI9F88YLvMoX7utn8bUjm/sOsGw2t8iSe/5lc/KyIJRwnChiMdALbI
Qv6WjdBx2Mj/e0XkUbR4rN8dQ6KrsP4wOU9zTFZTFzgXkPLHsKuH4qobzdleJ/lQVXAI456P99i2
UCXzcHoqPYUAKr0Cl06XRC+T1d4DUpz9qC3S9dj1O9TFPioodGF6YbIZyjj3vOSN/V1M6yLjzayx
XStgnGGk7FCpaS9Q++6wDT6PfWmktx2+vXssXXtvnHAuB7hH6G1CPdYuaVC446oeaixqWvgyV110
EwRRbN9E2ezcyMJF6iaIHbBWNolMpS+DXC8ebGie24DObdy0HLIdaNg2ip96RhMUfun4nJpehEky
LfdxlCR8tPXmCuzjcezlnQzFjO+leNKX7KEXOH/KqHo3VcSTHfUI3zn0my7hDrHeIoW/azRxsXvz
2Z6mp55t1tpiRKYNmq/lnAShSjYSVWX47syR1xaOUHvTZ4J0XFR66asZyvvUHa+TBCD1rMUfpuc8
5L341EUSb9qcF0W63a1jpUwDSBbacxDj6wmr9HW24PWlY7zXFxRytRI65pn7UGeGuS2LtECvzXJ3
Ssx9hPG7GIbGz8eYrTX7GpmzugZ8uMDxSIuNmdRQOvWZmtS8DdRhBLADwbcw92WKzM9003HtzZN5
mAcDiWavf+il57t9m4MtlQGpQe0uL7zvYVSeCJs8tRZhErGLA8xavHsnwAgFUHs7BdoHx/c206cD
7vJL2HB34AH1q2ax93mh5OtB9aMr0cXZ8Ziuei1/HyNvQkVffOOR7qD+D87eVsNQHq9bwe3PHVle
OploTNKCGzistzKE2hFGxl1QaSiGmDGs9KmRa1yd7ZrnzY9YVfVs4VZl2B073sGu7bfgquLdJMVC
Z12Xm6UQh3yYr6daPhttd/G6+CHpYEDHevuUh9GdwjL6ld7vjNDWDrSxFnDE5m52ggdMbLdLzUp0
NLAagNKinI3j2Tea4KYPlv2cBRoWDO29qbXI10WV7mZJ274YXgZWC7tFKFssGbpAFjEvx7JyrhNA
otvSZZ1f9YW1zoeso1wczwRvfYD9Osa9C06gja/spMKpoTsnQFkGbQlkwZlEE4MPgC+M5DvX0bid
ve7aa8S3gU5nzUedhmHOWaT01o987he43OVdv1TrrndI8gDk5TgK2FuU2ALT4dEcl2KvCZ7OQA25
2iz+zGZzYVzgfJOjvDdRkB6Gkg1i1pgHBueWb7nuORowwdoCia6eC7Ed6+Q6Dm2Wy+ldng2XMOLZ
HiMHhlKSbuLcuzHDot7aGRPWkeqLkniaV3VhP1D1DWu90X8EpnjVrexdt+ShHi0mH2HHhFUzP0Wr
PbWJ463zPH/Kx87cmB6EtrkzdrGdv5SzOEmtnOXApDEC0eaIyb61ErdyoA+zi52j+s0akWCYEje+
QhT1sr6ytanbLCnz5mF5ayzzpXY9a+/pBGZUnnOz9EPhu11EAleDiZUovmIFEO4dykl70J3uPio6
VCeVnlEbl0h8nDThrLVeK1vcdzmU1BE24hbO9+g3PQLepKoKoDf6ZYA9sEFT+zkstGCFZNaWmIM/
BKWzT9OC1bgm0FzAL17lOjNsvKqUJnySjRYUgx6M8hJPMgYUXE8Izs3It8z6biwY6cwuUXAGhM40
LibepxiuDwvkWCZskZOoQjMxHuY8eM2LiZwcTeQb06GlAuydrasmebedgrl0kCwbWQTbUFjz3i6a
+lBWYpuSG+dHjp1tXZdROOfhsiuS+rVBDVAgWAjHYFcyxLyNNBjIlO4eLJlRXyHg9raTVpDVAqPr
1i7MauvUxgHA7hk3E2F3eeLu2BzAnsI3vw6GeT5Gff+RglzaRuh2jmZFSy8rUsXSKSz2UVEsj8uY
896Ms7aVxPqtNMadqxCO7Up2wwEwK9pnwyUcRcIGzbxj4C0nLV5yyLRMfIN0uQWo6WNsZxnv2Oel
pbuKekL0mIjeVH30UJjIvtn/Z9vKYjLVR1oD0757t2u8Zrkt3N3kYh+YDcxgoIamlZFFN12M2yFY
dD9lHLGrquVEyNEZWJVPSXwzYFDaWEmtk/fDAiJ2mosnk3eX3MOsDVjROB6De5IjIH1JyEDuvMGy
gx4IgchK18cno0+/l6l2kzXxfQqZaq2jcd0kjWGvGlF9ZmTIhLkutp0lSECKBd8Sl7Q/ZvpLBVCa
EUd8CbyeTD5DH/yxboJ1GaSnwiVRKZmS8KmOMgBTwYvNeHll8tGFV/0DW/mLtDSawu5SfWnRu/w9
kKa3AZWcrrw8e2JjTAMYMxAwNe120SvdR3BwRccbAA5ITxlmtrXgTpUU2WtsiZ/0dLhIg7MbzPlO
j+cjjm3Pr1NtlcjiOZ+by1SYJB3OeQ4JS6x5Q4/MBE4yyz+0yv0xTgzUbXZK4Nf3QZt8Yr3Ytn3Z
7VrQzm3Fv46l9qQnOtz3U57Q8PbOoWrT716fvMGDXdN46fhvnQNgAPXUuCEKnua4tCNNXMrbk9PG
JyzDpoXnOUZZsTVN8WlBlVlhQrmPk5D/mAN8yHG8NpmxEgA/CH904x2V2ysV2CGeQFBS6eAYsI+L
LPN1X8XXdu2uAm98Niy+eTWV+AuTU0pDs7Py7l0QZhk6AbFBxMXpTk5kXvFkWFx4XhHuZGRg4XOt
C7r+R/oUBvQtQBKtqm+q2DtDosTDYtd3vUYekpNIRIIi3+EuZlJvJogsGCUwb3VpPPJwCxKBbdiC
vcJqWNIMNX+aWxCCRd25crMY/x7NUSGag2NFx3FOfkSGjLfh6F7PRrIrl11Lg2S6u2YufGM6u1r6
EGUDhhsBZB8T0i5JBpBwDoWMtbxZ7khfGr65dnwWZk+GUaBHvFn1d6hlivw8wiiu9KE58fF5COcJ
DVXnPhmVQ8IgMsS22bh7K8z2JhyGoUv9wLWq28JucthhRWyT8SekoT1HQ1nqa2BxbXPEcTHmbALH
wR22ZTZo8+3Mu1PoMtZ8EaDdDxdnjMGLp8cScNtqShE+MYXfLV7IAK/UtpqTEEWWauM2FqUv8rT3
g6H8htN52RTuUDNLCw0gygmBEsX9KOxp21o44ZPmWcQMdHIKLy2Iuy0d7yFyxHfwoTdTDCI+chhn
RHGXExrDJyRNBU7McTBWGqsirhOEXqnOxdZypfH+qfeO2rz3ZuyQ0bluQPpklfCnzrkMXXzt9c5Z
uWpXRZt8N7zZbz1xhn5KdVNWb9wt0DeybJ0WLlq6WBy7Xv9coNEzd9IJDR3cvRj6G2JVYaGqxAda
iRV1zejbQfHRjPneAvaJPKdctnVrn0VNJEM6bIoO0aLMy3HPuXv2RkwqM2IlwqLaPTIy6GgmPxD6
3joVWbtqDUwzLQpCGBi7yqTa9Yz0Na3jtYiu0wq3q5xXQKcPsoH44LnDRcP2yNK2u85l8gFHBMG6
QY7sHF/KUL9IAEBZMVyEyXAiJzSi9ptGC49MI5/B/B+6KH7pnO6x8kpMGou+AbY82c49npQ1de9l
rs3XmNmp12qcjHl4QMq1HJI+e+UXfIzUssOhFtxEzHROnAqvIi+H53wZwlVZJ6cJELnfDoQnzPmC
dGUmx9M2vlWDjmskvR3H4ntaueDs2k7NE14yWYJcjp5zsj7+WXEojjH29b9cceyyz6L484ZDfdHP
ft40fnElVvJfScVfnflv/bwJ4wwgMgGFUpqoUn4vOqGgJXPop+rkX05Jy8MpSRI7Cwl0Ul9Jy39j
w2HYSn32bxsOIaltbL6ny7YFBw7//jshFIR0Bvu9612beQNPQhpLhddcxd5ZWhGZGxlB4H5li9vc
4lUnJC8fkEsuBOfZiXduCi/lukjfUlavM8XCYHbhdhaCXVtlZZOKCFwOxWTVm37wbmlTfyiGNzpT
WJO9idbUxNgW06vUOx1shAs+Yqq0vRZnb7KBV+Ik5TlMxttUESfsrvHp9/aODuKKdhewyriGWkI4
ArgKHKEXkwooNlHxjYpo0evzflaMi0Iz3hKgFxMoyEPjOt8YyB6WZnznPLwitDBjPs7f9uIxL+8U
RQMZxGczu36q+BqJIm0Q1VZfL6yLMWQVJMMY+xosx6D4HKMidaSW1iDDhN6hW+x6engAflsuz0wM
rshGUkpcyB+NYoCYjAQiAWHH6sNtozghBor+TQI6xAUhgmoHzb+iikByfsnBjGDtp+ovryHUMwvM
A7nNFZMEBtOBbQYLj5itiIG3zddHJalUNJNKmeTpffM18CnMa/NtLlPmmwQLEy33MeeDu9IVH4W0
FeQm+MGscP5O7CUgTsP40Zna0QCugkX8nCjaSqC4K8MXgUWxWEpFZZkVn2UC1LIAbMm1YvzG+3nq
5OuSA6EHYkdWLYq35Ahe835U5JeG9MzWxwJWR2fNLHqusTgN0chnWRmRKMuKqr5MoXQOWesKTvwh
2sWuiyGQRE3vyiSJ7+ik5bCDeloeeF0qfSN0IKlR4Hr3AcwTb53NxoQopGQcMMhZ7KpGiszP+inc
GbNSlTtFY56dLOuf3dJ20VuT6fjPxvfrOFS5Uf99vok+rPts/nweqq/63XnIYWiY+LIw93xh3X87
D41f0OQyxBO/4UF+v/HFa41sj/Q8RDP/vvElkwtjue1Q4SpQ5N84D4ns/uN5iDcdOyJJX8gBMeb8
QeU6mNByas2br6UagetaVmxaocNGTC2coIizkkkyUJRMhWRQVFejEqzlciddclzbZgFuHunyPBXo
5YeERqJnMICFHL34bLVb0+g8NCLEZDKJq25N0VS0+J12yudQ7tqk/OaxCV1rUn8vagFSJFpu8xh0
GFT0zNeqAc176FwvLudOURJ9EVYE/8UlngL8IApmGFL/5OYt5xGVas6uiPNiQ6qW3CP+ZxRoMUYw
0r5wCVYqJDiz9A4p4ueY1vflEJ+rXIE32DYekkmbjqEq25bOq6713n7FyHnn1XyXwEivBMxkNoBo
76Yi84PRu9IFL41lZivYi7d6ujzlffXoJfUpjtpXXbN2yIP4ZReMKijLzkLO9ImjvFoq92PBDIFV
iYgT1xxO0CTLNQncNbG8VFYRha1nBu9pZOHYdcstmZsbR6uvaOm/JSpz2lEG+TjKm80o57clJilH
AX5Gt7ojuI0I8cSq3Zv2iwSkKSgQAG1W2fqI+hFvBKwNwI3lziSjlpTPHSm5p97wtgYZtovrxhvp
DKdikuyAGihNbTuzRe/bai3yhDtOBeJ6IamvoymeUR9e9So0FyPmZpiI0W3nz8CxN6aJatMkZ5fA
tR+9E5YQo4jg7VQYr6FieV3yeYNmZtdus9Gskuo2IsPXVWG+ROeE60gF/KLEl5iF2Xeb3VNCBnCv
woBtmxkaqsGtCtdQccGRhfLGsG8nctBYnnqrLicnRkUMDyps2FWxw25Ll8z521FmEkrsZEW8KVVQ
cakii2OVXUyGcfoVZtzap2B0ydlQQccdice6ij7uyEB2JsKQ20mL/ZaAkj2qMIEEIU1JhBIxnqYe
FjBVBcqeUGAJCJnlQnta4A3uTRKYu4CGAxg/WqCJEKS4ZtQK1AEX9XiLWOGlcKxgVUy5u5FU/rlt
7kmaIA049K6nAlJNpply7UTGQQ9xz9mV0dHI0Pgm2XRdTtqhKbtmNY/pO+nGREohZ5vHm0T0k2+E
+SeH1IVkGlr90b0Mo9Q3xBI0q6AtBiiv7Y1VWR+JwHLVVtHeyua3MfEu9Hf3pLIydpMLm+gOVrgm
w60rk2RbhU0PehibS1nfmiHXDe6+z2Rh7k6LvFv60UHIoWHRJ1R+5YVqDx+OfKhjuHtV+lyM5bPR
KEHtIJizJq+FDRoVggQSJ1LXoX5aVww9npJGOxnhcHS9HHPrJDd2xIYcPA7hdiBnUbVQt2gvXT3v
VA1VNuwqYa2hPgudbx3xa6s0tLz9UDkeS0Av348GD15N33ZtpqWr+TUpUR//XIu/Xovogv7iWvxe
dN//Z519b77/h7uRL/3d3WjqxJBgQmdhp8RL/9r9mb+wvqNXsL7S1JUV9efdSBqKK2yLnaFwDDRP
bAx/7v7sXxgdWyZdhG7hQAE8+jfuRpRVf7wbXfLcPSAmhKLx0/7ohyUg0MiyRoKpBZ+wQpSAxnSc
5800FbmiHxqHMUi3oNsOkDCwOnpF9JJ7jmoZtoSo7cqsvDh9fUikRikdbHTB+CRLnPKcxU5J/Erz
NOviGyGULK/beV6Bk9gMc/pgN8F1oiP3Q7qLXLhMnNsptEATN/Aq9E0GdJwzXI46MAr9skTx4HsL
0CNy/Rg6SKSJhd4BgTK8zZJw4xohixQXzm/AlsfTZblHY5v7WiAuE8Kl1Uz8CHVzK/1I0ZKHQX/E
5OQ7CERGswOsDmYCGjFIY9nId5u/kyaI7wutKUfZivpcn8aY1KLknUw3dzMHcET7HFI/NPUDa6Hg
kFUJ6ETQ/yWdwo7RXnaSUhvP5LVxEg45meRN8hjXmOmxSxrrJkyuSwQbTNQRXC2MWu3+gSQ9e43T
9NF2wuuqNjhHrPFMcme9teqgXwWEv/qFhiloFHq99hpe07Tur4CwktsOO39LVIQqkI+yMJ/yZLjz
EpQyJNjhDRyNvWPVCSiO+GMwrKuwWC6LCWsF3yiFRtJ8yzptHXDcIDeuzn2EWLxCsrcOU4y/y9St
wfqnK4j61qpCNOxnpg3Uwb5NA25PC0cU8Q7hpsbXth218r02kZKZensxLUyjtbYr9fyc5/G1kfUn
y1oaCGHtqR54ZoK+valjVJ9uykuDa6/fCG7ftmCSmrBRrq0rcFTptqM3XNdMSPapUfhppZG0rd2k
U9leLWQI8O7FwGNd+860zSuvynAVzsPEpS44pFOo2BaCW0gzOJ2TFOF8RgxeG7YPkzdFW1yiV6EI
Xud6YAykubuwtWxfdvqTqOtX6g3HNzKapLojQjAOb+GYnI0p90kDvXDOfjT2WPn50PIatvYhrGMY
/rY8d317HX9FDJVfcUPkQqZ7h32el1ZPacAabliGEzsQcVX0aXVMiKMpU/2uk82HW0FvI66mIrYm
LGy/IsbGI86mIdamJN4mLsvjlBASXGY3REGmft1G/S5TmTg24TiLrZG+kYyW2MVf4TmiGJZ7016u
wrppUXrF4zaM5UTcgc3PpbXKmt3oLO1mdqL9uFg3jXxpNSMkO9B7LBDGZUl4aky2GHknDyOynbBa
bvrF3AdDPKLw7W+Jd+Lu7XzTxF2gxcgAgjq4sdru7ErIFanbnco+viOBZR3M4f2CWG5lNz0dNPKh
ldlA5BV03TsvNMCdzJglrdTeZWEc7mtiS1amGbmb8osK1PPkFBWuhMJAzI2n8sadtG+OKH6Ujf5B
hgUKzzJ7WorwjLUYTEvNhFOqNHm9CQgcTao3t9eYM6bRVTyhppp1/SYvmfH2rJWuAeF+Wgv+cH0Z
P/tWicbt6c4a5+pgFcOrUeZbKvpvc+xQ6JGR2eK6xLxPNKVoxW7qw+diwsmSjsW2cucdazlfr5ob
L85Ouk1h11bMOuvgkjhd7BOzsYfx7h0dTT66fQAniFGo5YkHQ5fmju106y+1QXjKlEybWjOvCKMo
b5zSuyMiaT9lAuVZNuC4gB9nVoifKSzMlXQ6n781Rj7VirUX19+jmkFxNyNAszNi49ySqKn3uHLu
2s66S3lNuAfY7ocFPv/MvQEEvNXZw3GEKYdzoOStyxiv0Vfvorp2mNRkrOc67SPm27kuIiwpw2Mm
Q5Cj+PntPh5OQjOKDW/ovJfmdKe6CyNn5c5K3vB7FwbsxPq3d5vwMFE7Bhr6N+sU0T2qRf2r3i7x
geMYsQP9SCimrRbV92aMFnWZMYdHdr+ZYiXYDNt3IrLZYbTWrpEoGYa6vgqZF/PUVPe9nM50fjRj
Vk1aFGd9Wl3GssoOlTFCP5ju9LncYJuYt9J2TmUNWgEq7kO0zP127M3P1OsnAmKcW5QSKP4yWAz/
1FNf9ZTFFPKv6qn3hti5ovsPUir1lb8rp3QMvo7umA5CpT+Iy10MfWiifv0XvupnOUV4lIWXD/QH
/8M6DW3Wz3LK/UU3KHtgyrhIxSnG/k45ZYo/jV4dx3XUbyd1wczhj4waAAkF2sZpvJ4yts+ij6ut
NUTJRrECcmfqtq2WsodATzK8jEl+qhS+0qZEQwEJSZfjsPXRNxl3oeJduhKp7lw4qi4hc7ZbvkuF
xySo+HO0a9rlhOTTKgvurV6zr4ohi9i7YESvGERcKB43SRg9dSieRhZaW6qWI5/lo2iMH+k0P40R
KmyRXtdZ4wM42nvonhBaEpYMO7zyk4xDf5mtzJ900a6JGY1WDJs/E0c8jrb2mg7a5zhEte+wdV1P
I41/UeYfNVMPJqsaHK+hR9pCXz5y/gFvtt/mSKQKXWeQgTmgGu859fq5fIry8ta0ww0B0+nKmYGM
1H03YFPf9SHUroNdWXfsiK6YVn8uCIDn4sY2CJK0mvRSqLDPKXnOWTcGzBOiQj4MkmZRT37Moaj8
ODNvyeam8uxZ1wxh+0jNZSIR7SrOlijbTl02Uebhy2xs9pYoRfzOGcW+ZTC0tjKYFkTTIcsuxbLO
OWTWbZB4G61TbHwyi1JIYityw3c9Wu47CZ3Nn4iPRjmDcNqIAcDJUrOuYBvEBFwznEhRDRwXrYE8
M2UroZX6rp/aA4LzGP5bB4Rd5dv0X1E3xZeFyFRuoqRVxqLsy2SUDct6suxxNUwx8VtYkVosSRPW
pKhT1L0vfWf3pfVsVM+XZyXMQs/IPHJzjGBL221cO3qMxXQhXyQ0Zy4oMcJ5Wsz40R3dpwY7KBs6
7zUFSc/Mlk3zSLQw46qe1fXsPngFbkeGZBWwrV2GtGHPjPlR68HJ9yhNNlOwFLuBuN27XKhhTmsW
163ayuu8lhYT9IlExAeeANB7winXaM2mG2KRAdD0YwWtZHhrESScnNQcsHtFn5URTeyfZ30Te8ZF
c8ugW+mcxrnGXtrxun7f9EGzNxs7u6/tOrseSqd4SM258ytMk1C2q4fS7fyus9Gw90uHDE/uJxsR
fI9lET1GX666cr5GPx5wQTTsTCGubmRskkViGxgS48A+djOruKBa1xHZSbMASgKigekKyNJQeDM9
k9AOmuaNr2kyjuzD68CP3a7YTVWZvqeWbPdZP8L3rd1jOkaAuhe8FU1Hc+M3S4VmQ3rN7WgZwTkK
LffKHWaSBQDSegpN6yhILbLMhqRhwLWdQthqLjDb1kj1VaoAt//cR1/3kfGX/f0hrz6b+Hv25+Ze
fd3P28iAZ6X4dhgQv5Z93AY/B9+G/Yuh4ztnB8enhOn4v24j6xdhWQ5DAQJC/t9I4OdtZP7Cc4QO
l5DUX5NV/85thFD4D809t5qQJoMCaaopO3Ej/7YIdKK6KSatnq8mC7HplkcELmil5qo/9GUpJKQf
QudKeiKEgQt2j1Sd1MGUANCwRXoXmKzrXfyNfLYHZyY2wnxnIteuSy/4DuX0nmYwv5lTSJf1Yptb
Jm8huCW9vSpt+0dUIaNPc+DNRkG0BCosa+O0cbPp7JHE6NyQ54WV+UErsg7aFHK1eT3ZiHeTJMQ9
oxsoJ1GhIKFMT3gGC7+txnnbSK9adXWKfxqC6BpgKc0DAuaLGOZjKuOzW3bBKY+zdJtqHst99pwk
bZs24RjkOm4nz4l8S805ahBDawPPlV9P9Bi12wO0FNpLxtlY2VNxdKL+wbAjHdYOUg0kIRW34Kxd
msR+HwvuoRqH1Y753I8lSV7RfeDcEoORMzJxgnMlkvkRuVOAPjGiBLVYbkXJZxcu5gvUJaSgiJO3
g51xg7YZfTKLLHIbvcI7Ydw1Nvaoa0dRTfpZxkW3i4GZkl/U2+eG8tPNwuQeEBcN2PygVWS6laIQ
O90tbx0b3RoA1mLt6gKKeQlEbEmR4Ah9ZF06p9rZiJg/OjMLhJehIjY70K301AWz0e0IrpgZcC5N
YzfXEe/dQKZKfDUTFI/CNzRUs5rwnWhxPK27rlyvRnjMEk8eqm42HzSzz+ID0SfLsRkK7zrG4Ftj
G3HRxlCcW8G1h0wGmUrq/RgMLz2bKIaZ2i73kMSNyf/n9Pp1OslH+S+q6fh/2TuT5ciNrOm+yv8C
kGEMANucZ85TbWBkFYl5HgLA0/8nWF+pKbXUZtqrV92lZilJZiJu+HU//t78pTDJV/16dpmfWD1A
ip5HHp6YwX+eXfgbUB5xL1jELlEavwiT/m+uy/iNZElzl+WoJ8qvZxcmBt/AcUAqwWLThpL4D4TJ
v5ikbQZ5pnkeYSQ/fUsJl19MDDjN84iaRf3K8ggNBPms/GbfyvCH7gNxQNFqRHGKPXLIsfTNk6z4
84YsoAB62tfVRnjhbdb339p2XuqTNm7huT8XjbOtuehCQThXPmpR677gryC2pfy7Lh8Ch45Nrot4
D8OeFF9xjzWgXvS+ni3rGr2QxfRLkMQr4ZhHh74bknSvM5VcRjI/mzaR7XzsDpHDXRd0wTKd413b
g+FLivkZ5MEO8jHOpLS7Ht3oJSH9wwfjxDrtmXOGiL9jfmiyeIIK/5gaOZSJHjiWr21md74GfuUu
+M62tLT3Swlv3YuJmVkB7Dk3kPA7kFa0ibAlDwK3RiFq8QNMufdYSxok+XTij+hTXNSBfUzgJywT
qe1IdoGdI7y66ynUKO1xb1KZIitxK6v+dury5iFzptesQjIQjCxhpD+xG2Vpiv+w0sdzmFbOQoau
tnaSYtfBYAB92x9tu90L+jlBKziHyfhB8+a3MOgfJiRd2iw5MWaPEUknjJch7WUuZkgXNcR3jAdB
wnAhdXugPyTYdC1mAkK7gpXItEvaaesBeKrYa/YtP7MwzNhNTQTGG+pBu6G5dGNnROuAFcmWpRZ1
e10ZT4vZrvRuX3pIxJ2Lm83AlUqFbak3Lu4NOxjWMGs7/zUbaomk6ZjdSqT6mONnplRrmZsli7LM
RrJA82BkJZHZ1wSAS+t7ETU1qDrbXIEsjHga4quzpL6Sc/tdBAA9fNp7cBThigsQDwtQRK6KZYVO
euvOFVlVy71oEX1XNF7yd2CfK7XoORvtl8IbJezu4a7qgdL5WhWv7Nr5gZP0w5zG97nD4DO42WNI
2R1CsXWG3Y8e3JrHptBi/Cedtbadgcwvy0vLT3d21Lx4qdNtLIzhayfwXojPY46xBV4cV/5oPZOh
NcPCP+UdjvK4xZVPxcA5C7VL+JINqyIMD8WY/LBHKiVy3i8otLDNjqIotklZ3QxWEq0jEoeV2rGJ
MtxmEZWCAKbJ74ingL4jjKfBwjPkE2bkG+CWS1wn7Um2L4XjtOQvtRKqnTvHK/6qcaG76UrDK8hC
NINJErWkB0gm9JLfeBLhTqUFap/CFp9FcZkbGrqK6kP4drPMOFP0TT2lzfd/z5WfU/H/VGn23L/+
YiL+os8Yzm/CBsgE68j7U9TNQIXxIQPwvP6/7rvf9RnWXQJR2BUcOUqF+XKqOL+5GEB+VYUrL9s/
OFWwlfxpIha6z1HCa8AlwvllsVj7eqpYUVaxYXW7S56KaFOWWbwayxxE5s1kosGzi/UjcvVrOxr0
CI7EkMq1Y3SmAVeCS7Jc2lPMWqf24nq6gufj4MjlvsrKaGGMoqZsyckiawvEn1DdwrazuCXCECQD
N+fAL4tvcyN6+9rte78pVi4VU9TbOo5sx6Wh1Un76vKRnudFB/CmxXU8NoPfwheNmm3SVv45qvVo
H44Na10p7Ye6ZOfjAeWo+5LGPTtNIKbWcjhSojxtyKcVFzdL+1tDpPJN59NVgU2KwrfBbsZN1rKM
QXQuIXSWaNCaY294fEfkqAxWVJ60phvDNWnj7kt5TgtXXoxkUGJy9VFKr1XdzWbzSgMUn8gO18gy
wsi/j5ykuzdljWUbLea7N2f+dogyCdiUCgSWL9tMs61bb9YpC1ZhtazXRxu7BoY3p+tIQAl9ujTQ
pTYppQ/UcRo4h0EGqFUY+Tp+Td2uDnSYHkZF5wH5c/ObNbOEiOY5KWgC7M23FEfFsa/bcD/hTnvm
1m3xxDcJVFTwGGcv76/6Pv3Oj7TY174w7ow25ohP6Lo425K0iUM3+2XK03AVTk58ceK23fpUrq2T
2fcuc410kNcFoMXp05gRTt9xamcnbArtY5+X/ab1kwKAV2yeGbMy0mNRm5KvYt1vjLW4gXOqbZip
22srRmzDPF0ekTvYArXpAUFthoGveZsaP82HtKNs51V5eBjL2Oa1Ja52RovQD3ncco6zCkGp77ga
1JNXbKuQgJcNvwqZsUHkn00/OGSNJh4BxDzB7zJPpuZVV7z8YKOlNBe0pcnysWn0q2mO4Ph7MtmH
MdZ9lLIEimg13UYYYlZDK+v1FPfjOhzmYNMCGQtX/z5ZP5+sKlX7Pyb21+L/nV+79794vKov/H1o
p24FdDVoFRcrFontL0O7+ZtjGgbqtm8xNuswp3/J31RqoX3zHHXw1H0CtH8f2l1UCgWvp2vr/0x4
/+DxymP6j75j2GxcAEy0EN0kmsyV4uvDte0loy4lhJRAXTehvZ7AVXz5oVz/9DB/rWfh+/vybwBF
h+fBFY6OrOEqUAxC/td/A7pBavU8PK9aO6Fg6VHTr3znpqU4IriWw6U1fqpff8t4NJVh+3/+G9Ur
+nINMUeviRE3+6sEnAeZwLBTSTQ6E5D8yvZGNqV3GDqnuogU41UrNiKZahB8Iw49kntYgFnafmMl
aO6FWjtOagFptMR+LC86OewmC7WkrNhWDlr64bO9LNhilmqd6ZYoyGghCtxBBYql1p6NWoDmahVq
sxNt1XIUy6O1Cau43AbTSJmpWqK6ap1azJS50jx9p0lvWbFx9YbhCLIdtnU8nDR2sjgQ2ONSxsxx
Avl1Yv8p5E2AS4+wpLUrS+N6YMNremJf6H3MgB0eKaFa9Jb20Kil8FB8G9gRc5vZDWppbJDJjNki
25V3IPY8YvMr5UarWDUH0XQue3e+czudWbBhZ1nclXUkdqKmBoKG0R18QK27mSubP+jzZiyvstA+
dQAbLgzNNJ623bzKe6t+Q8k6CSHPpA5PlRvvx1SeGz+4aHp6mWbxhNLNEYkMC6yMHbIZf7cd/Uem
lQ5mQvs8VjZEcVq40urUBXINMGY/WfG1DgOnCOpVPE4nFhonFpLlqqOLi9pueWwH/anuzTVWeNbh
xAadDBZ4kE/pJe6L6yLtIP7JSzqnB73ksjZWoA7TjuxUPeJXaQckWnvKgPy5D3U3Mb1qergx86rf
973sWNqb7Y2aLE7ZVDobRvEjATVfk1d25N22fWPgHSXfG0XNxqjyQ5DF15jS7+QAFkTj11JS9Opx
eLl59wPxilupSDCsybXf5xRtjRyWplihS92AZSVUzX1LSHsrm2Gj28GqE7CMDH1VluUdhpbrPOCm
IykCZg2cDrfjFN0K1eyCAdWrvGeblpXRdZr7Ch/oEqfPRwFhKA/8LQFZcELAfGzdRmEb3nUZHote
YJ/ECMsTbE+2UiwtkPaCCnJEpWv8PWfbSXa1k29H3VlnbrGktJTjsNw1KrQ0dyun1S6+769MqeHI
FzcT3XmLgOA15sJgwwbn0W5a5cTLl3VacI1xsmmXUna6bzL2GzEJLGvSDmk73yMlsivLukvclHfJ
oK+IlvG2ZrHDEtpUsb7XxPXOZZ1RCpNIItstN62glexCAqJN/x56P68TnEJ/f+gd35u/SNoYfM2v
885wEcQFZR+Ctaqh+rJ/F9jRr6gDM9C3WQhzKnxZ93Jn+Cx4MHQPSrOrPG2/RCqb6wTADd112DJS
DvPPyBm8si+HA8eQLzyELnI7glOUQ/ePh4NrVKGOm7u7uC2yUQqIEfRjZGYrF2LT1h281xbA0aZW
5cYG/jNbO+St15PUdmMzeYlNEt1XUVDinyNaUeUgyxMMb4Ahe/e6ApsvrwtZXSorje+JYMLWi/CE
QPebeU5QPfXNyhxuLsUUbis94JISwtYOJvaw3GtMe6Yq+HNEqx16l/d2oOVwHo3OzdqXPAKhWC1G
IIKkOa1etDFO9gITxSHP5VzehTNKMY0PQQL6niKorW+FBHFcYqPjgP2pKWUCYIvDTtaBsR1SYazl
WM9bPRXNI82IvbFL/UnMa6vtp3A1mf48rrOePCkriEAjJmJXGvH3ahbnfmqjclWZJYwiIRrsPG6F
3keSaWtUUdrdpVYGzRSlLrsaTRGZ29rlf7MtL59nafu41CA9Js1ijEp3D+vC0v/dg/1Mw5lcgf/+
I3p5H15/vP73nV991a8P6aeSDNwJLpxpCeVI/c+H1PiNi7aCLeOsQBcg4/FrKPUZVwVSsmA/xbSq
amJ+fUjBMzOQYktllvSYaP/JlZ/N2p8/pKQ/yHwQhxUQnXkVf/yQBngwLPTi6Sourq0JxhIt7HIx
dv7DOKN16RM9mT6cKS6qtyx03+iL05auNiOURrSQT2AfFi6cqjb1r0CBl8tRE28+vRRZ7z8CzXvg
tPvoiX3VCnkV++5LVuUVRnyhrLR8Hsz8VMJnWQ4KmZXO1kXqdbTMhG4vaLR7FKGYN1YpWJPB3DJN
jk3gEs9p5j6G0/ymBV6xDOB0ybp/gMN33cDvij0+croPUR2drSxH+pBgfWEuIB4N/cvwUIjHYtjk
cMEsGj8TnG3st/Y93DD0/oBQYLEpIu2phyxGi9WCAP4lgzg2K3pJ4RJQDQqm6ZmjPsF5WnuZp5Zm
CxadP0o/vmpTMAEho8rdTElLPACaNap2OVPSzvXUwn+lVPUQ/Nva15yXfE5NFlqBi0tLzw5ssTEC
SAOgGr3ktNWpNnBYa7YPdA36mieBeVlGfycm8BZz4zw29VCnyzBu7Dvf7dUQ3n/y3NgXtvODISXm
3sGDSLJy8O5H6+xTCR5/ysKERewVygMLO1RjT4C0QEXWs3E3K1m5VwJzEvJcU5Kzq8TnABXaVnJ0
ji5dJc45U0L1QDMhHacRPGTeOBFqdoeqHWfvDRp3TcviwkH1psXtODYuZmP08NLUNcRQJHLDhWat
RPN0wtiGij7ZBC+VrJ6jr9eGUz+AIroNc/vW+FTgJbCycTsmSbCLncDCSBnsCh6Ty7C2jsDA6GXX
Knc/aRhvZlR+bWi8hUD3Zx2y1WO0/5aNgMdmYPaddKGXlaB2oVj5ihFHUGkbx9B+2PteF2awsdg0
KLVi0bB7mLPsKWMXQcw+XwRsJ9grnoogfcAT+hLmsOPUGmPsvF3KXqNtsIrT+7tjceyiudLGxw4k
x0C5NNmKDCQtoUG/dlO8pi/p6LM9gX/zAsmnWwWWxM2tVixZo8hKzQOwwGFR9Xhq0H2PKXuZSnH1
OvelVgsbFqDnhg3OHLHttIInQ612qMNd5ux6gHfcYr3ZuOyAuCRfjWopRALdPCVqUVSzMZrTATNy
uEmLHyk75H6A2tQq2Eis6CJkJlelM13Hwll5OugdX1KY3LntM5tqbInCfM1JlZJaT7ulTgrMyCBn
gti8FzMo3bHM8LY07n1RhEev1l9mLzpn/nhj0d5hgFRa+LX/AxzVLveBdwu33g99zhswuM8STkfO
2ncnUZ6lwbjnbfyMLTTisQDIKBY3rW/98LE7rhNNXpcBHKS8NWgECk06cIIC5JvAZ+51XBOcdMzY
y/u3acpzJWIFuw+GSF8DD5CbQvhvY9C9pll9HRhUlwauE6ygqwTLfKr9dZM4x8pr7evZ8rawAyJA
iopmVxUGxBocpSGgu7ksT7j13wwAeL0i4TH3a+suNS9gpRIVrWk3U+YVGx+EHqCied27UbpqVAEO
bZw++yi4kQjJNMAoDl9gN6cZMB9SK8wiOlQA9jWK3IeXaC9mTPwg/cDlAXnEXwrzC6Sx4v5NYbhK
orxfYqr4KTb827xgMEb//ZF/jIuw/e8TX33RrxOf1gWb3SzjtyFgNv1pLGdrTPic0/5nFPTXgS/I
tPAfDJKAzj9H798PfCXyM6i7ZDQdF9PMPxL53T+KRGoqZwgAtucjkJGhsdXU/kWyMQKro2rUdS7R
jIvrAaxbRvSimHJjFUUa7jOP2HZ8br3UonxcjMTUZXaj7rA+zKgc1s3YxcvO1QMWdp5o631eNvNq
cgfL4dhpmaHbNjjgDecOSf5lTm9KwHUVADvCbd9GaXZLFh2XSRT1yla0OxzkkMfq6K10SUSbOkw8
3EFcQHWNp2i/pTCNY8BMp5UEpRcZwTO6NHC9Uk/gBmWf0L00K+HvKRLf4PApKlcRf6tYlv3UFWdb
m8RuAv4a23EAgj6Ta72jRzgohuqNh/C3cOC+3Yk84JguNi2uQdiT3LYTbQd/tFuMTfGmW02CNk85
OZSXhzjUvpvnqkC0wbQ5Wi4/nmwmX5kF90bt3eSlvvanYZvMN0YnHuTQPrFyX9sQnvzzv9fjz+ux
wzz89x/El/7tLyZv9TW/PofKqMGnj05sPlSfWbCvkze3YvjbvNPUZ+vL9dj/TRAacLApf16cv16P
PUWjxBPCP1JYyX/mhqa58b9Hb1Z9wrZdV7l6VcT76ycx67CXYefXrzpC0IFfOKCjLe1oaj1BMlyw
N45KTfeUD0MgClr2cbFBQZ99UP1UsJTJW7PvcE6NymDbn2lsKTCV9neZN1bnZtYALzFGd953moMh
YeVQYwTJiRlEqg8qNXaJnSH8bDliswXIGurQWJtJAKt2HBX3dUhHXVhV3wVFaiXJZiA4KgBMgbQA
1JopYmup2K1s23bQlUbwWeo8hAexBW5tX2sWGVoh/XX3eXxKLYARzJGacbZOnLHMqt+DHFIRy0Od
EkIOYq/wlXNMuyVbkV376rjO1cGdWSwRg4lCuyAW9jKEYbAoguka7C5BZs7+lhkgcuqLp4YCbsXP
sWndd6VPeTZzAy3iDBBz+IDtipxvu+8FXoR8NnYBM4euho8kiriSjzeFnpy5nbzkTCmss+6NpHI5
TRlgGlO/r9wEGDi/hA5c2jJT447ZOa+TGoCQOZ49NRK1FdGm2oHcb+vXCjXBBBLfxD4impZLTx6m
iaryiUW8zkJeZzHvzfFxUJt6K2lve4ECPDoAkuYmB77IYj8BArpwK7STmRJzpNseSg874wbmW9am
O4+46zouWu/KN6tpmyGbLwaR7NGNfdx19JLXROf92Q1vNEi5izl2gOIO6aWezI+MoQ6smSjpU07U
VSdqwmVR4DYPUick+5ynmyKDRx2m5RWJ82qpZ94VCTbYpLQPLcKp/MhTInKtUR76xryAQEKfJMC2
6GIbqkdPGNBwtG0y0tE4GP03UUWPaUpqrgFfUZtRsZrhWyzakB9uRrM298P50cWXwnT3lofBtqdq
7GAX2o3hVR92NK37aNz2CMfLAkFlqXcNcxCI7Erkh7Fz1nZogc1Kr2yrpxheyd16mTzpMnhwcq3d
Qd0oKZd0H5oudHjZ5imozHaheT1zcI1DsNf123zqDjq9PXWa3MZ0EcJLfZF684YDuUS35X42tcPF
a2BUkWyDi6kXZ6AIjF4oWUNGpkzoKh1Jszm2EPek18Z38HVQVLvpqbLMfjEY1aZqQbGWHSSlaRz2
KUS75VDoF5nJt0il+4XK+ReCwpOS6L8FgMHHBS5AAiSKDeBh6u90uXEbfFSa4gdwYSyXacI1S7EF
JkUZKCbnRwd2QNZYnXJABHVA2V+s2ASpCZYFWIEHtCDHcWUAMTC09obXh8+ROJEP5qAZSSTxglfh
PFAiCgrBU0wEEgO3jN3fJkVLCFnDsl2BoIDspe1LRVUouFAOYBbsXnuPwC54ir9Q4XinZ0RRGQLF
Z5gVqYGb5LoJau7TiuKQg3NIdFASHiCMZU1dCCh6qA/AoHSGDkgQJkiIpFR5ckWJIPSagmAYbxJT
17me6uzVkdL/PWd/ytAYo//+nD29pu9/Me/yNb+fs+ZvuK44yIgKqdXqV6+k9RsnMIOrha8EUzT/
6NfAi8KFevV7Ugkd6/eB1/uNDS4FGAano6X/w0pjDvT/OmeZtZl6PR1Nj4LsP61FcTgjeNaFc5UO
WXjUwrwO7sYxZaMmzDjdStQ5sHkUJNT0dEIlyPZ2AzHW6TVnlwZ01uaTSVGehNsPY8HTN2M/JQvb
dSihgEfoORT6ShY88AWKg0ZbwflTJRkzfSNyHi+UQm782ePuOlBAOQF/DgJ7BlMUsfYZ5TEpso3m
DQSLzKS/7YYWg/AovmWjz1Ysify1hP+X6eVuprhUmuFtbRBy1gXKVWuSnCryZtfNxsVv/XdY0Dex
5V2Rn9ibHuREj2LMsn3WQq86FkF5rCN/30R2vDd8SZw5XHpadJebzkMYeyNbV+ZuO7UqHB/hC46L
PYUF60QPXsCWvvaRBYF+qAPWdoPcAojmNdvc6S0aaxt0B3ay/rFWi9y0McE6ZZcaVB850vBc58Ad
ou6qo52q4wfNuVWCxCADMgXVIXdTl093t3N8bwVnA0ydCeWJYOo6NalQrixjZbnTYQ60Z6+JaDuw
g2XUJfs+JLNcu+3MtM11w1NIWSOAzc3khMvmJUX8x0tSLh2rmTfhlM0MNNH3lozIcqoMZ1UY05Ym
t0OGE35LIvZSVDgVZZdFK3Aq4EAie201H72Y9J1Ihb/G4o1tnrOdlcyHNrYYVn2flBgH8hwDChvc
+t5rPHjWfrajfe0mo2vEH5oB8zum0q5yl46qlhj1cPo2FfPBC+0fLg6cdTKwX6Oz9AVEzgGm9rdR
n29qT7sfGuNFVmBWmy76cHMbpLFMaUVqk0vussMjJbdobKNlQSLfR49cuGY4uMircJOY/fcpavAG
OdbGHdLvExsb0leN6uKKRfs20DlzwmOFqz1XwKiOwu5sBVKGRHQDeQxNBLZU4MQc1APANJdx0oU0
nfM0WOFzoIa35vHL7puf+AzbahEH1NzTkL7xNWCjjBBwXLiuRbtp0K9mPgxsJhN3m2qevKkwIi24
Eh4sK7GW4DgXVq3cqHGlXaE5Wgt31Mu1xbuNjXhtwSQySDhRhzLu6SRGmK3L+OB548w6yZFrsKgd
Jd8yXOjDsJGwUz09vAJ3S6WqaZytnqQ4jRw3IODCVZsll1pUJPCNJ6xq011jaOlLYRDeN+u8vbbw
2xtBU629jjdkI6wUAiU7fZvuNzyUWBQwni0ASPC+MX2NGgydlbLshwuY5vUYlmyatelMQGud+rQp
9wQdFj3C9sKM27emR/OCHL4YrGYP8cQiPegdNKzlByNETi5VQtn0iuabybps4UB1X/fhgEipLqRF
5EKPZRLDPJABHu9m/XttmM9JngfkrPn/SvAu22ImO56mmbMtc+bXVkt0VlF1uTBM9fsNUL9mOzjW
frTNpLxQA5Es5dwfEjJWkeS71jVnY4Tl0ZisbZyDyCl9qJLJ3GDb8r3lCFSTZ0bPb2iGaoyFC+D9
tMmLnFE8JrGVgJIGv330wj7ENq1vYyd90QeSi1p7h9g4LMBrIMHJZl0wVbDEh6UHNmIJsHcbVNVO
9O1HaAUI16xHVpWW8YGlBdk8e2N+n7dJdvKjAYk2bol40BSWl2SZQ1hC2OyekBg20q6OfeC9j6VJ
OL/MD10qMWgZ49YV9t2/E8LPCeF/3sRPr237/ler6i93cTQxX22YLPMz/aDqRn9lwbimQ2xhMQb/
5SfO7NeMYNNRyjWbcggdYCS3dcaH/2zByBEL/kYGBZSzfwZ6MZRM8MddNRYv03Yctacjm/xZi/VF
FRt6rEWoXfJqQmNy19EQYH8HEj1hcIxZmJjBsZvhB+HaGob00egNaIds2ONuX80xpUiDmNNTS330
vE5Gs5upyKyKEqN+YQnn+4g3i0gWadB53YUNjzhcqqQrjdD/8PXc6O6mtm2bDXlPnCbBNM/+KqtK
5eHGH8s2uBahOdMFmkpIA3Np2NTg9eForHMzbOY1nBxgjwrRi1cyNba9nlKM2Ayh7TxkBtWfG+r+
9mzUeeAUwu52lTZMu9Ga+uRDWt64CRMcp+swTCggpn6VdiHw3we2a9lbDCdy5cPy0BZTNQ1rLcNf
O+Qx53PEtkfPNTCJWHzfBgfT6zzn1rYjUkJNVR3aW2eKPoTUoE8U3geTDnJEHuZrF1TWttLwV8Fb
hxFL9PcYhRCgPfVQDWPSHcTeQvYeGtKb66Y8pbuUMgburHT6aDpSIwYrY4r1ndfYzCEB8FfDU1bS
uQwPVaNl17iJIrIrhr/1quI9dWdna2VWuIYUaW/bsovXekv9axoCK7CdPrtO9b5d0gBE/nEwF3ld
y7WHKYouM+s9Alm7Q1vkbcHdDpOZTcVGGbIjEtpbBaZkJ+asX3K6etuoaT5cGQQgdxmRXDAz7Uo2
FB1mneluS4hjB9/Rk5WpRQloDNZIYSlKAq/DMu4TlBrX4ZHvyunG9wNnK/0yX7eqwokaELDmje0t
ZE8mo5gbXqZnPWdFyuKhTuADNTY3IOkCzHUzmhUrmMk9beOqtaq+Cemg5aIkuxs3ZiKZJ6OGWg2E
bo9pDzaO7o/rdigpJ7DHaj0abg+8mrbEYCzSnZGBFcbxkO/+fWx+PjYdtPW/v1jd92XW58VfXK7U
1/26XPHghA9puCScDFJnyrj6+4NT/0049AKyGQAHSSb2P5crT4Vo1YXHFDgWlUng9wcnniH+AJ8P
jlbf/4dBNOHwN315cCrPqY2DAdYWhF4UUfWI/ipiGnzyc63M8ysqMA8WDDamXEa6FEUHHWczQApe
JEF2xpuSbhzL3unYr2P40lGv7SHKUSNm3hQGjSOWcZBt9Zr29kvQKnJ2dx5n4xT69m6OeBCmFE8s
Izd8wdZ5MwRBuhZ5/upz7QRmDb07oOJ+OdMuDFkSxEuWRqgjeVc8lVZ07CHInQoLAE7E+OCXqFaz
qy0bP32jBGBjBQZKYnlVNVzqSJA9S4NRqyzEFVvzfmX2+BVTQ8ZXvSh/iLIEYj9GdInR0bCMh9TY
O5N36jp3bwX5vUX0aLLnc2v7b1nQ3stpKOFFhNtS9EfhKLlnEFdO6R6yLiP3GTkPlqat5rL7JnlS
t+quwCzK2eF71wSDsDmCCpPpJZHQ9jQjWPYOgJnERRI0Gu3JZw4kQ1qtdCc5wU9EUiE1RZyp2+Px
o+CGaoVNJPx8oyX+txHMvTP0J7unAaaqb4hobfKUziEX5oHjb3prvAUhjK+Ph7PVGK+WwTiWac+D
HTyBEdmIHpHMH6QDHTB/iyeCgBpVJTnpOcz7yWUa+NHVaX+jj8FIY5DIH2t7L6bWU60zjOJwoqgt
0b1NIPH7546Qy6kf7iLygvx3SByizVZdXTz2vIyAgrVlGmuUIEoKRGJE0cYzlqU+Acbi95Ak9B8m
OjUu5eQhDk3WbeyVRymDH3ZdJQsMU/d2KW41Ap1LqBQnn5pFDg834n4EvjluolvNCfbMizaGY8p0
xjq594KCqwNejyCHZZP+SIrmMfShLJN3l/CbU7GrAoN6H05IUhtjuHRNAt42HpDYDZYZZXo4KvvV
DGbQmdOtbg+71LSyddGPE+2F/bvnONXKFqqRxa2eORLWvlFlp8jhp11n3CrDcsajOVITaLXQgDWu
m4t5nKj2MPzqzKL7oZ7JoFe9t7R1vF1lrIE0Gmngy/ui5+AsjzqO1xNhlQ1N28+xcE8Yx2+LoYRG
HfuUEBnzTAFR0iOkN3LjTwXvTMv8VhX1nTfwi3eQKiZnvuh9QAOixhV8cG79yrvtZUCnEoAgIwj2
Ljc5IKv4LFhtbkZArcvGALNshikl0dxDFkndEFacp1cIdu0Sn2oIA4+v7qhgIxK5whOHAZCrhJEB
P2OM3MZg19ZTestoQc2mvRjC+RVZ8bUbxD29O/dpBkdj9K5RLzGfhrO9lCYNTVasPRIMKXDkMsNR
TBdNgziwwpOoAvh4egeQfKFBfcaWfODuuS6ryga5hdnZ1Ox3c2zxsmjnkfXgOvamYo0W8UooZzdV
nbPEhUT5gUtub5Kuu5gaQHBmLe+oeimXdUtJTmCG/hIbGK9noNBU9rwD+fMPMyN3ODkZyonN4ORl
2m1NIUCb85awRR4fStd9qJr60maIJ2yf3qtKv3KpQWgTPEP0gtvrQlLtIAx6WvS5OQWGvh0Lm982
P/FjXfBNo2iBquuKFxugyabUeAYj6nBtHxq6C6ZwFxDC2ZUGfhqBHd7n0WinJPvB4yyjyD7PXXTV
qlJDRD5vRZLrDgaPhCdVXtetvk0a+76aeVaW5IHC2qTK3muQ1d3XMKwOlYgOJt8cZcU6Jie9f9DE
bCwJA9fYjYaE+ztv6rQNXpiUX5quvqU/KNyFmQb21ejXOQ+4hd31d5VH60aT8vu1NBCHCnguqehY
YKx5SxrCkDzly8i/4kG3ZWkM78xu76dAPqZm99TUHtS9tH+yffCuhimNFZk7so9tMsAZiZwl8X0V
TqiZxQxr37TJXSGs7Vz15SpIkVnSURldEpCyfkKIn7HKqsTCb8zHQdzIFgXqWcZHO7JuKORZEFt9
TDTWwVbOrwYOgSjKi1mxi64yowXZLt4NHvRAGv3rIRZ8tG0t2GnOBJNbzDE+7piEtm2vSl+e2iq7
HXxz544Zj994WjOe3VFadIxKruL4s5/cDuFRr7tD3V0GwXTnkDoI3ZBJ14pXGdazrUkD6hLKH9af
ecvlOjkVmPU2s9ac/cnVNpADaQHrxoTeLIuNTeXx2wrytazCA+KbRjGLpwLbZejXUIBA1tpj+U6V
W3SWRbewK7z9jvuUoO9voeAocFo903Id0YwSUc0AOAEMeehB042pvOH5dQi62b8yrKa80mcNXG7b
2fvBjS6Mk5732tvTtJ1HiBNRBUaewyPZ+HW4yR3jbFZwE4r6IALeOp6N/aqjz1FrbEpJ3YonxMAV
wW61XVTbFzLV4a6I9Hdr0t9BRb1x5MByhCGDkWCVe+7KTHW+dV5jaxnlChPQ9zFm8eeEEfhjNk9d
YPF4CMVzNObDFt5Dgns3WrN/KIkt0/M5aDFOGnEM+WFXb51+MOzgNg3cnaZJE7O8e2VVI1TmPjeW
aaY/8OPnFDeyd5h0h4Gdxaaqx5umFdvEA+RLABOf4aiDgW50hWJCjDJq+Vx0lKOO2Z1DrZ7InIfc
Z11aJx1Xm3RP58mmif8/e2fSHLexZtG/0tF7OBKJedkF1FzFeRC5QVCUiHme8ev7gHq2KdmW29Fb
b144nkQWqUJlfsO950Iz5HMCanLcqG15hxfmlcP1qnWG3GV9R067Wd2oSr3hgFMZcddc2SoYRIKl
VhZbz9xs5UKzurRAZK4SP+zgBiXTuh4xzXPup15INAlTr2adjXRRpYnkLCrkywypCCrksLUiOmQS
UC4ocj8x/D2NVmohm1DWKuAkY7BZoMabfpA3qBOPfHJ3FjpxVsXhfQnZD0dEemawfWcnRPr47dFP
i0ejVD8BVOWOyK3HRo7nYoTxh+GQYBMFmZtjBA/ZRBqBypJojg61Xp/HINiUg0y8LrKZOpXc0Yp5
35X9eR7pTvPoc6qjP0zUlLd9OpFw2+2memqR4ZnnTEU+amYchEq4JaYGD4ah75ICYoKYj12taVhb
4HCamGbiIcuuNJyVXtDaykoZaun1oQ5Dr3MW3KjUSAgE0lI27LLsud41hAUDFo8/W7gNXXvsrqwS
7p5T98U2cJrmlFWYlyptOEKEtTmU/G1Cxt3WyYaYmtNv+XAZqT3rd2arHMzIyrZmWOwZq2ogGcjp
ItYFbti/ySb//U3LvbjX/rodu8VjuMJy8VJ/if4ssnT56t+aMv0XVVskIA5IzgXq/3tThifDFji+
dLHoqr8zGhr8iaOh9QASgiXjo7JE+wVo36L+Msxv0rB/IupW5dJ0fYw4Qe0C1YjRGJ0fdu4frYbO
aCh4f7XwQqG08YyeoY4Nq25v9lP13NfalHFq42hdmRMkAfC1Myg9f6ia+H6KE0TJs9mT41tL3cur
MuBKNC3RQ1a3i+mlQ+VcA3rAzdBJLBIw/1nBILPRRuKwFn0wOJ1q3rOKq4Nm2zK0DW/ttl1G+C3x
X7liUSHMwRzfZUXa30OJiyVMXzGh7bIz5vFxHG7KMl3TEaUNwi0KrhTPx0Ou9mSNTYiXH0okoqyr
jHKeXD3HggjSsspdNlf2lZb05ZOWVfGTYpTY4hwVazUp3j5MNzWwV4RWR2dS6OyOqLM5YwUWmb7r
FHKfByJzMy3uzkKxsgvLzPubDEPFmlhBqTOUzntAIL4BGa+yn2VO7YU+3Ck4A1DeMpKzI8PCrJda
N2RhE/s4t1m0S4kMfc2konkhQalN7k6iMmqJMMCIIZohUSDZw+61dmvUvCEN/jqlf2qjWlWx2DPm
0SmQsNvH38z38zcrPoNKpoRA+G3+2lTWwdYCgXjd1D3GFydvrh1sN5sYXBPimUYP7zK8Mo6Gteuq
eHfQ5ErQM/JrFtV18O6yCd8dN/ZivknSRgL9RbsarEwyFZljiijdCY0AKnoRKPn7Sq3jkc1dpA9f
EQgFXx3kVtuu1fxNGoWMPiNH4qJTmgkIXW15OPGbT2wQy5pwWcXhTG1X/w6Svs3ff+pCORXNf/1P
HnxNvzZ/sqj/YEVZ/GJs6JnTSASJ4mPSMvgJ5je2oYMCZRS/+E1+XdTrv9D+QBW10XeyzTI++MXk
u5WM+TwGCMs2ULD9A3/095OkZd2PF4bWQkMOxzJALH/+YQQf2xZ7q9yJL9B8z4a18sOtXj1+ONKv
/uiQlja/yHdH4/IqAN8YigFvYpv2g9+l8tnvG7MRX7QFFYhX2CIPKe8n2/U1maxjmm2IAVI9WQGl
QVeGsZvO/rFnj30jyvA6jeytNMKIAkGwhFcVw1XtjgxyNRKuCML9ILN918NL7p1d2aknMQ/XzSTP
1VxgfNAuccEdRJzwoegXY4WonI21zKn9jii2SDpf1DEcViYZFKu4RetFas8bVuEa1rdJThM8Scdh
qTqtRgv/7kRYs3kYlDnb+sNoee3ycYuXD97YzXwGkzYHYyf1B3/5cFqpoT1LBFArhQtkG4kkNNdh
V3HWFlOVPOJoJr0UCdO0C5zlM66+f957zb6gmJ7YmS1HwUiHEK5agiLsh1lWppdWMt3WCizvrVoM
Iy7hUuVurJhTZe3kg4YHf29XUjnz/UtvMV4kytgdCyXf2qztPESJCNkWa2DNEcpcSU8OHRwI+4rX
a7RnYwqs5iingkFawISnsGpjvApR5q2qYHKOTm1ah54d45MwVf2R5gKnYTpBTWvzTt/b0D9qvEPG
MO9sVjtg6IfGwRmE78fEZ7cmm1n3ZDniO+oIbUb3OBE2YvSwZDtr3fJvjr9jbl4aFBvjxAxhGtHX
OVW0V2SmrvFm0oal/XAz9yxPBSZmp1CdG9gY6oqNKImHkwNPpcQpPSa61xcqHsjo0c6M/sRb13tm
Fc1ryN4SRQdF8piO0cGcu3BNxzdv2zZV3dyB1d+EvVxc8s3W1PrdoOd4G0Zs0fA1VVYV2ZmQjjPZ
p/kmq6NrvTD2dtjFnm+muyLKEy/QxFXjDLetavX3AbXwWyEgNseJZw6j+VYwsjKyxkv8Sr0TSrcJ
zHajyCLBppRtEpvV78gKvDHLL03Tfs2j+usUTw/opEGz9gdnzDYcINCM5q0+ivNk91CV2h1W0xMq
L5LM+s/C6NCCKJt0UFlkEBLcTa+kYrEAefUZDXuDmWqsgwD9Jkb/ZJiU77Opr80maZgVsdlXhvkk
M7nXAnk2y44ZS/JU8vZB52Y5bFtrvzc3gbR3nZifRr9ZB5kvV5WoYIEFjJiaXBDHQJaXOrFVtqwr
fscbo4NuOEZzgOjDJz61F9E51E0CI3153aZgRIeqPQZy5GFmzJNWlET0fTxl2XR0+BAxBllJp/aY
v53sUiORoHhU5pYoBuu2k8E1ZdQJeI3bS+eUdf116CA5keVaMiBh7Tau5IRlKQ4HrP01+r2gFheJ
kjwXifpcJtkhahJ49vYh7tTrmalGStZskaZnQ48ZF1bTcbYslnpsm2ySk6vE2lFdeE5NRxmisZvm
4UA9Mu2rOc8PZH9/ySYA70qIrm8KmFQZo5ZsK6fc+o2q3MyTUm1+fvL+CW5TZX0B89kQ7CUASv9w
voeTmjWTmRIkWWF361NnWltEXXgZqdynNtMGz+oJQi7CjPXb/FUtq+a6qhJxZzNSxLw/3nRMMxgq
e4ljPYqx3UJHeMuBLnhlSfJREONIQqazKWae6ZSRQeEbjTuw2QQfDWLIstsdaaWfKcc6N4qbBwkC
dN2rLe48kRQIT13kk824V0vG/a2fI2Kut1Lvr1JZbJvM+jKl2W1nxYeOJN+5SQ/gDk5WWZzsRjrb
dpgIp5yinRyZMzV95Jo+KZehHm8Dbj+vEc2NPnWqW4bmQYQOn2s8wye/VTH51ON9HPU6CVXoiOQk
L/Vozt3KNIF+Rsm5L+eLsIn32PW3xrDQ8NG6+kuEEAwGGBV4E2HRrI2gPKUBoclWLi+jlMayy3bc
azXSYarRYkJEHteXSZze6Jaz8Cn61DNzphpaydawrq8irekZ5aM8qwnj0Ccd5uYYsWWxjlHPwzTy
gNooqZKkWkKj8R9ngJVUYH2Tl2mmC1hsN3AOaU2BE3LRvDKwDxzli6+ahJlgJkXRMa6SNFP3Srmc
Ze0pssxPUqQbIaC+EWv7NGVSdUHZJYCmgkttNlTvfXChl7FNglLcPRSkfhyZ69bnlJXo/uePKo3d
jyWCqWORsSRZMvR4P5QIqFsGwFIZ+c3dwlg71Ch1f/4K33tw+JYarRn7OWT/i+tn8fR/LHXokoBS
O0FwkcKVU8zLqIt2UXlTD+wzGHEyu9k48frnr4mS4bvf64+vuvzeHwqsrkzaUmfTdBZTfgsYF9Uj
/8Gt+AmZwLQK8dm4rW08mr6G8S5PIOuRgJiSz+QKGRVuXs+fCsU6QTARLlkOm9QZ1M92qFteJuJ7
084GL0jg9aX6k+knI/Y/7AY8TXmx7mYrX9ulUnlq2duulU/Tvhst7XORx+0GNaTGvDB6TXlW15Uw
Q48TePJaYm5cxiu3nZ7OKMaSeyRQcp8F2lU4tV9QF+24lO6aut6YzdCsJIgMjTAGFItUKOkAc2+a
O+HC3UGMNBjs4qPxZpGb5wRoM3oJGHY57Mqa/q1qBsk4NNrXurJDX3g3zvGjLpKD0RYo75bMxsjX
gGC1EVnZnbFP5viIxNDLJx+gYSoEF0zCKSseewHkPYqzs41IPa+Hde/PPMFinbRBRk5Z6RUxEuhy
jm2vTv1zSbhDYFg7tTCZEwXjLfQBCrhSuevaBIGV1gp3ttotfENs0F3xgvviXIvsugKKAMMKUKd6
6A3if3tD21mo1GB6q/f5BPTcJ32e5vQC2IruxcxTEQh8xXyJrzGy8Sjo26DUTxY+07953P7uGV8K
8Q9P26BTYkjiQ89MoK+CC2VTHauHYTvvjZ15srl63Fc5rFC7nfPn4fjzF19M9R8+wr8+6ph7cOBJ
Ji3LD/fhxaEi2DkDY+VcekTHnaRbbmChq0fl0doQHnZ/qbinx34do8d94X/Si+kkVodo418wWsv+
5qf5vrH59sNoUFrJUMBhz/33/Q8ziQGxpBqHF6G4IiJ2FYnHuv+mofhLFNP3Z9YfX+OHNTw+kU4J
QwJviuprUO+c6frn/6J/+jtYiKetRZCFVur73yEbzRk1Z8XlrVxVDp8Hg5rz2wn1r6PU4N3668Hj
A7ke3Z/xiJcv+23iiCZek4B+GVEhi/+on0MhYjBUpKRiHPmNevZ76+4gAbHo7LHBcZvxVPyqn9N+
YYso0Y5oNN7vf/T/aN0Nx5Lk6y1UZNXAWPrDx20UjJLqOu8uoKK4FbuGAFlvZGd/c20CX/vuc72Y
V/HA27quIgqUSPWWx/Tj5zpt+8rEAs5K2nDukxCoBBACOr0d1yw9nvbe7+E/nW/J1mHqt7SDTBaC
p7KI7QMSLOeoWvAnym8dJL2k9t5Vmu8dZv/ebfbvnefgV2iIY5Vsx17vcbyRVX85xCnch6gsC7ku
hrTrkc8HzDSjxs8/RclEHgKTf+E1+auR6sOFtSBZ9E6UqUtRmSLc9ol4TnHbK2mDzMqKhkK7FL1q
JKc+jS9r1KmrjIxmN3QQIIuvRlN+ydmG+Y24s/pql5P4bigmuZ2C34ILYe0Ad3KytTFme3+aKk9L
MnIpa1qEqXoL7fAGYNiFKsu3TutvCS1h1UfO2hOZwg2qvqQ7K1ZZE89lmIc0cuA+ZwxeZ8xQuaJo
b3rc5DvdD5kGt1W5znrGu4hBjLUc7DNA4IsmJ9VslnR6AUv7bZtb95OqfErJmueWC1Hjti0WfJho
zCSChk0jSJRojZOEb0F0kop9677WW4bHpp2HN03QK5jhSSd1RjF+AhE68a8oCYNskq72dKWevNiY
byqzhaGmqOrFh8/en02Ivj9J3x8xQnAEQQP4MjUe6+8fsWqqaf9Hu75g8/WCq0u9nW/plFaV2+7y
na+u6GPX2dZaI1nm+tI32ppwLzf5m2f9PQvn9xn++4nOYYto1lg0VizSvv85mPgMXQDQ4gJNwYEB
0egmAc6LkkXTyraQ/1dgRWC3mdT/vi3OgVX7B5X3yEyAi07WdOH4RG9gOHtux8LZNBIvWtuWG9+e
n0EaGMiyEGn68/hYpSXda10RoNGQWjcONMxqGCMECMf1pDnbQc3d2J/ZXts+eHEHJwpGEJxj5Ktj
dGzp4yMHZ1+W72JgpYWG6a8Q5XoYgpP0EYkmOUFWS/+QZaRh8yG+GEb8FlUQY/rTgvsA84CqZWc0
HWIZL4NJ4kGznEon0jy+/flb/P0hwr+sg9IY8TDnJXsYzfnhEHHg2jhl5tcXos/iLQcBevKapSLd
8xpsik63GLz8/CXlUtF/927+8Jo/vJvK2Ft1nwTNRRVoT4bPercjDXdurJ2edYDUaF0DExmXBVPO
SBuC+vR8YmhCqpCtGKcisj+JqCFguVHe/ERnj1yd4UFdC39+NYLqORuiyquYMnyrXf69k1VKxr++
k88vX77+2ZW8fNVvVzIgJpokg2hvriUsZr8vAWE+IaVins4UFWzuR7ATtFHm2zZVFMmmC23t9yvZ
/IW9IFtAvkDDZ86g/R9cybq5HFS/P3IcZDaQaa5LzjD2kPbyQ3y8KxWhTg1JdcGlj/LPmjJ2fg2+
8XSqL7Q2fSwTZVXCefLmaDosIVXbPINjXnQ7KpCvutIDN3QMupWBQBMrPXKG8Nl34nMO/NlTFeV6
6aGIBLIjpmDpg3Dw/viR46wBm7+qKJ9o37qLtgtw/PZPZpq9qXGyNgDLo2UJn02HdG8Geg+012IH
PucYZIPvWj6RUPzYxabrqDYjeJ6BKp86iIdeFSF7bzQdMTUApc3Y+m/90HwF88Y+EbPa2i5I+WTy
eVskIXmp+csshgdlQubnmEHvFgZT1kQh+xPNp9ct0PTSIXi4sYrPRBm/hlZ9kRksJ+uBX7Grm2Td
lOqVkmqLfPNclPMxLiKgDrXBFR/JK+KPr0SuIfqL0tYd7HYEXKXbW1Mvez6qw6vfxNCf1YUNGtro
q0MDYIWI7/oeik6HwEITbcWvlFqnIXNum8xnHKZeN/lQs7rTCWh15mOYOoewHY9lEQoM+sha9bbf
ByrasqBANQdYolgVnaFslKixPQd92H2TFKQGFka37lpgS0HZagc4fUhrkvEL2v/pEPQhQaK5wAiV
xfZWG2yF/GrtZFbqnnO+xIfj+9eTkhersGqdzRTQ4Tpp5qwCJTLdvMvD68Iks7TGYRhZDJaq5wlc
3bYJkJClZcjAOLAiZnP6xgJ7AWAPy4GZE1kQVPPasnLSRYPsFdBN5qoWs1TA19k6zWlYx8x/Ti0i
OoO6PEdJOXl808mD2L2Jo3z0xNyvI18lKjc3m4OU1SLCCT0L36RHWj0PZAfgRDS6tqslVIOgm1+7
WpDK2nSMzGD7r+IkB2bpF9YuimXvzZN9xlnnePZofq3LnlxUYrTygbBNreVRZs46ekEfpZsyYFek
KuZtHmrPvZUgtWGuuWpsK921zZi6TTDcKtPibmYSS3AsqIYMVgrmUAxzXc9j7FhXvsCpCBRL3ymZ
8eTE8jMTyK2lAHRaRIhKpsAHU+wK1StK6rD6PDk61/NgkbGaNw4H/zS3AJa4iAFC8fBG67Fmra8N
XwncfRwDPvMysQsWGh2qWELeJ63VrqwhexrykhQ9G0IBSizs7sb0MDIDZ1qJC2uMwPgOC9ehaCc3
SYpHu+iG7ZBCdYlw8ft1REkUBuYRVU8FNY1QvMnI7+bCv6zN8tSNTuNh93+L2upWauE+l/axt4nz
aePjPCO0YpgdKuFZxBg3iwnHgp6yoslq/UYUZu+pfN9NNapHW2MTw4B2X1gBdLSEH9wJds2gH3F/
vJmttWmSaTma9HWxqDkLZJ1yGbyQQ2KsqhG9QfSu/kQGauMN9zsU0237mJOdVmzGsCSvLlTgm2pD
1zwwXh7YFsiSQE6BAnunRbbxDO/AOLTo8oKrNEgDe99Wiv7sB6b0z7GBdzhDZO11DqAttgXU4IRU
gGtN1z7Py04vkn49xDjjBp67tQEgY8VT+NTp3W4m+Qn1rLlDZkX8w4RjbYgCCFiFf23PM0HvHfLy
DN0QfuWr1AwYfZGotc7KiOMpSSVmwPgtqK3rmiTonTIY5K815S6dktS1IICxd2HG3z9URjFv+BRv
bR/u5JJSWIn5ytGjY5dMmPFL8aKOnONFPqAxz25U5Gpu2/rNjjBZBNCNfzklQroT+fYkHMXEGAaD
muzzguFto+UvVtGHa9gANZyK6BQl8WcJ0KOIx88jetW8mkqyTIytr+t8DlPcO5aS3InxhA7ZywBX
4DbNZ9J3o63S25eBakRoFOM3cNCHOWsZcoPUstJorTJEQW8Gdp0MEoyhGbrbma4h9Dn96iwLNjni
D0aaLXkyMoLKCblz0rOt1gvVzQa6LYkmLooNrFW1BfChuioaVIvAS9gAY7OtQnmhh6hPjUDZGDWw
XMfKHxKzuCqy6kIxQX0URHQAS3uNBzPcDmN6HMqxWDEnPfrl/GhUNoab6HIykFTI1jyUPkmLXVwS
Lin2ZWM/s2GPtpog4slUCoi62MdzLdJcg8k3FGsPiuqt5ZDEC+D6q9k79WaYOWw1MoHjDOcXPmmT
vzhuarM+6Kjp3S6Cm4HycO8g0QHnrK6Sfma9Gt2mfvZSddZeYvlJWpRvhfKQaLzVApll3RUtxw0M
RDX4GjvOzhiKfaHwp35pv6GR/FI26jGT4fa9jPq3nlwq/p/Uk2w7Xv8ozli+6EM5uaByyeyFtQ3T
lz/6zeij/oJsA82GZPZGQUfL+p8JDw5JuhlWFKTTA/ayaGX+M+B5906iJYO7QH49viH1H1WTfygm
mbmgbHVUYiCoad9lFR8GL1VR8bSFcXhVkb5p76p3H6JhXaoY3GhbgneTItytAaNOV+Ijoz5arIzE
KLf1xn63OA7mYnckGmOHqU/zX9hrxoIeMU+BHlHV0b6G8QSml6kxkmZ6xozTSg8BTaqdHBngzsac
Rm7aOGTGs+OyNGrLyeTuQnXk2NOqniCos0KJqnBncazDTYwNZaWNNHm7KqiRdOdZw/i+GtIaYsli
2u80xPzrgMQm7mjbpLZooZUYkdP+++h/01UuQsafPPovdfRn5mC+6NdHXy4AEYtHnBkds5zl+/32
6AMQkeTRmAZ+NQlM77dHX7N/0SR6Sty/Aknl8oD/+uxraDBVRp4Illiw6Wh9/smzDw3kx04KfhiD
GF3qy0/BN/y+kyLwjXQqRcyXWhY+VBqlfsrmbJXThHvqnG3sytyqnJ/GpLAzcx6ygjJEdCMXnGPe
xbZ+1op2n8UxMxvbbzzLysAmRCz779HsE54jxXWg5PW+pQYgVSqNlc+AOqkQcpV85KPl9xmS6lwQ
f5pa8a5pKfeyLsZiBYfAKzrzdkiW1VE/EfhAss6Ya14ZQsiqxuJumpQHgGH3Gt3ASkjKEVFTWivT
ZRjZB7KfvSlsXmtsacaChQ9icVPG8oob8UH2Te6FLZeK3y5LaMJzOz9/m2rSZRALbnwdjoKsWd4Z
cryE1fUCEX5EcKp1HmTML9WQzV4rUFQ4o70ORDu4NDHqJiHrCOuXok/7YSxwnwDAVzvU8wkXmopd
o7Nc0OEWE6UQyYbsj3VfPobCeVIIw0Xao10zvlwDpnpIIpJc6ni+b7Ew9Z1aXqgkFmRl8SYFI6c6
unHQgq96jSSEINur2fSQNN1RKXrYW3RjQpksV2paB3QCHIGiJO1KS5Nd1SiE14amC+JTer5kYWaw
VbqUeKBxzILb7dshXYXF4LZOHTPrRAOU4Xte20kyu/lYqi5DqNdwIg9MAzKC9FWsmhEhjy25rLVd
19WXfkoQpcaqk+iiuirxZptdtm2NlF7aSLO91tZu0xjndoTGqhUSkwTcYl34nxPsTkk6KoTg0fPk
40tgFkT1UoYVKeF3hGwDaMaIF2rKiyDIwq37lrIiQesAJoZQUrJz+Ydd26LpNrILzVM6aFhx8vo2
bFAayTYD+yADxE6WE3tMonZhj9y1MbEipb3l2TSqW6QD7Sbl+b9AfU89oe+VqnlAL4jNUz4MfauS
Pt8Ir22kympNxidM8VwXOF7XoUHSm9/HCi63WHcJh/PxXKjiohw1eR3JpTVL+q2jl6xjg0OGdwhv
nnxhy2YAGJmiS8a3WPDIZZpsMFstg2j84Cneg/wzISQb2UefikBhNNkm6yDk/YzTiXG8buKTy76d
7n+5gFvOgN+nLd98sNqCzUfZzXznR5hfqY19kpIycZlm94n+xTC8v9Ul/MlLcNkjEBeckUKKH3Zw
E0LsJgZ+d5k0n7vkairvcuf0b3n2rqBdtK5/fUfdFmSvv/yxPlu+6v92SRmL3dpEag9ucqnCft3A
2b+QH6rbDgAGncdj+Ya/buDsX8SyX7B43ti/CfMfYV11+/sK7f0BZMaMphXapYZ2ZbnEPlRoSV6m
ZSJiccnIsg43yx7K1dBfvNZxt+51lKQi85Od4jPSiFXnwW8BLfg1axqos5/bLL2lpXJWPHZe17ao
gcroc6eIfdNXp0SJA7c2SB6Iqh41Yd9uEk19HiyAQY0cmiOohD2YHVebo0uNkLIsdM6059iTm2XK
ElfUacRwo/Dd5VEMOB1cjkbY+GCSz6XMVwkKUDeNhhuptU9OhDObu+iaiAV1VSCDUMIIBnLPpr6K
ok3gmzhmPrEZeh4CPLmxEd80NadrXTWuSvpmJqqUJDLEH0Uhz6LUuelmfSVU/TiTRdTn3dFu/C+l
g4ZIms9yMpNrfcQ8GeT+edDxAAdSeRpqY03IjPpSkxa3GhKbcX39EEnxBV5EuBpKrXLNNL0fLeUL
xlJ+EfLjl3N1SgMCLfgdfJGco7l8aSDVbXofk/VAd+qGsjK2OZ5jfwwRQNrZ/VT6l003PGcmlJ7E
AshkV9tWR5PmwORbYfXa2E2wJSz0MpGQhxYhazeowp1m5yE2MW0vcL8eC1Nr925jx9d5RrZMn49I
02aiI23qbL/8FIWGhgSxItnTSR6qBppTkrSfjHk4DmbFqq7J3gq7PlMiBacwCS6ckEjPvDXXQ8M8
gqS/XeOz/W+q4E6m9R5B9GKIA/8/mB1iRjP8AujwNvCnLTraERpPduD6pNHVlK8jJB4yKDdm3D7y
/+3yBdWj97ZN/QO+J4zbq/wd6APZxzwVC+bHsTLP5PPkhQsCyIIFRKDsLoYNZPaEBLBWDzb8xbPa
VeuyILVZLEihHraQCmMohjWkT+rWCTAxlFCISBZy3LZgo5tDKOoWVFEFs0hf4EUzPospZJqqL2Cj
BMJR+Y46WqBHEvqRhIKUcNWkDmLVBD6SngyHeAEmhTV5fBCUyAiCEWO07K8ia3plv1M/hnm7uD4c
1D5mkVs3sgQXhWoUZsK1IGL3ppkCAj+ZwGxaTRDJDQC5k/5bEoxffTbtblikbi4q62Dl40Nj1p/b
hJ6lLAiyDpytEibXuMb3NkpiVzMdrxyxn2gWXtdU0HYZ7YWKmJpfrlxXlrV0QvGuaEd9jal6YJpr
zS5sEqJqo8xjYLLRzOllNCWR3+Oz7dtr4Uz3vNEsoWJlP0XKKa/CbZhAbgAiZibc7nHqYYLfof9D
H5wHq9HGHa3PB61sH9Wq9ph4UyJm46ZHpIhBOz5ZEcVTi7HWGS3QJib77ow35KGt4+00dpjVCYPI
un2k+AGLQ8ubUCSHkfOJApptYR2e+iXYkJBBZzNmJoVbwqi7Emw1nFfmg3wIJncarXKdMM/Vyums
d/F+qBdljxQ1mq2B9xaYrNLtuqZmMNxfxqPtNbF+J6IgWzkTsHVK1JVOULHODJSJCY0oHBm21eLW
6PyvFYgCGAjZvsV/A/e13xFfPLpKhd0IyAQmwf4Ysu6MI8Ne2UjNQr07D1Z+HJU8B8iQwjqzn1Kq
TlKlFsQvravYkt0AW79/FLLc+/qI31RYa8SanH9jzq7CLG60zmndaK4vdYEKPYh3KQdgGfUXvjnf
VUugsGyvfdkdGKPS5jIbHmEYsc/fmGa91hR1XxQoPJsinzmFtY1jtEeRzxs7J9yB9PZVVYoFWoEZ
VnbPDEEZXmKm2KuYjNV8WpVBcK3O9oluu3fnWYk2JtJigVIagk/oJmVA6LMSOcizDcjd4XilpcoG
5cMVk483DRNtnuEAMNt1AyNvg4QT0S1J6VNbXrWWfT9GXehmhkFAR2Y46zGW6adE88Ewlf1bTOEe
juIh7XIyiItT6BC+1VHid7P0JAlbRgAYdukB0DxvKpqCRJXzygDYxAm8bnLjulb8gqBdGgmzfhyr
8TgsHUbTZRYSWBKGaT7QjbjhaFwGNCWw3jjGaVOgBBOeSQTJpO9MQigf+lQZEtZgubpB5z1g77TX
qSDb3cAhUS59z0gDpL93Qn0BB4PmyGGwqy7dEuUCyZk0UOPSSfla9Wa1fYKVLDljqea4JKmOaPro
saARow+8YRgyrPpCX420ashwaKqcA3S5y8Yc9/PS09WWCseBNm+k3WMoeZdGBBdDn/LKlFG/Te4g
IUSzq8826WV0jenSP9ZLJ2ksPaX+3l2+N5rZe9P5oZ66+lYIf4wmlMu28ff6mG2kZS4RUDTyrDYF
AKPvyxPcdqo+4RC7VG+z1Sdj019V7rzKXOfl7qY5F4doXSCwiE7Qjrxwh2waAuIuPv87f/zvb0MY
+VON2ZkC94/l7fI1v5a3i29Vk8i4KFdBPi4zxl9nMAjMeNcM1FaqaYp3t+vv5a2FFlAwmGTXTPH7
oby1SC1G8uiwzP7n2ZngYn98fmz22SYtKckJPEbWD+VtM9Mkd0ZnXgRaPp8IpRUlyD8b4z8pOeSt
zqvZ71hJKBQhqWe3vlWcJ5Gxd+miGHFza4j0bHeRyFrIJLxG4DZ06/qaa0CPnXWA+SZfaTN5eONq
aOMueBw6tnDeLAKdJXSC26rcN3q92NChGo3UDxabiVApgo1l1ACMxvyRMQFaetaO6KBImGn6dlX1
C7ImgnLYBUqz8TtxF+fyXOcmpqsMb84kbmhm2aqpo74q/JI9b3bMK/+kDuPDhCIZpxfImrLMtl25
T6Fhc/DDcYvMGCqChbc1HS2WXTYzgw7EOeuI+TGznCtVoDNLgWgqXUOGOczKFQLPksYUJVw+fZFj
O3pR139qR4PRQAA4KRKGx/Tqivth2gxmj6C/c5AK91XratY8eklrpgBauT0moybcWcg1jh4kWZ2K
XsDuvyj6eGRxxBynRuWS+eqXcSwLnGDNBq8bWT1V6mZqSuSMLN2FsIrtjWS3CvxFBw+8j3qJ71e7
VSANVVYnN35C8IqCesEnWXmvU5WuRr24iGVxA5+NdJbyGHGuhSPnc8/CVLUI4e3Sz/pU4jgOe4/C
atWnCUEROuM5MBc6IrS6hHuBpwvW58LCqNP/Ze9MluNG0i77Km29RxnmYdGbmEdGkBTFYQOjJAqz
Y3YMT/8fZ3apJKV+yXJfm7Q0kygwIhBw9+/ee26ZbXzFx9Cs7lwoYkam2BmorFsjih57gTc+U3wN
S5E2NDe6MlNOFjarsQGPQ/ZQJWq9eYwUqmPOnOMEu6OLxjW1x5LUFG1vIr2LhDwljrXKFPbDVQCQ
UKFAKgUFaYAwLHU4IboChvi19VYqhIihYCIOVBFH4UViOCPCyh7IkX8sYEuUVX3R4qpaIhqZKKmK
WQK8JM2Lj4MHw4VcYa9bz7rCm3ips5VDfj9mDkFnAChuCD0FhyBQlBY8yqxAKSRpwPwoeEo8DI+C
Y+Yqhasywlcx4KzYLXMogINbAYElbZ2lloLydjq0PhAt2BaGZe9l1QrcAtFKpDSr6+/DlElkqSAv
zEX3kcK+1PBfejgwmR+90PJMW1IC2YTuoxoKrm1ANOofpALJGAopU8KW0bTyoHvBq3iHzij8jAmH
hoDFJlFcGvg0mlVeBz2hvAxyDdl8f+XHOlOzUbuJYvsMMERbUhW4GZP8EWqx2IL+fS2iedwBCd71
CpKjxeByhALnWAqh08HSSRVUZ1KRxVyBdgJ9wmEBeydSEB7qwTfFgMwZKkCPOuQDnxg2eTtdDBg+
jYL5lFB9Ks97wOMVH1j887VrjG9ZEtylNiggF7w73CPwQO08fR1wpC2kQgfRW2QvTUbP8CRU4kwh
hiCc3ROs4NYhRAuPTMP2USUgJOhDXdpUTHFseHVj2EWdK8R6dINz79RnA7JR1o0Mikfwi41SzR3k
cwzdXxvk9KgEbzSXz+JdZ0dw95TyXiHB60qL9wmjr8zevbNH095H0BsX9IirqWx6NhDz6cTeToj7
hHpv0yY8Fnm6j7v6Pozrr51yA+BlOU3YA1yt+lApv4CFTXWhKw9BoNwEjfIVgFRce8ppkGI5EMp7
4CkXQs7Mz1G+hEE5FBI5fAyUZ6EvAUBK5WMAOPw8KmfDiMUhU14HcIgl42YT+wlGCHN4G5QvAlh3
shaTfYzd4nmceEeNgJ4MHKjkBcuP76Baq2XibTtvcYSBYMqQU2fL2ettSVOC/YKt96s0uBkq4X6o
Gj4wIg7Wysnp9DUiQQtc4V0lDidwtdQ8RINGdFfeOFp2x0slphhfZsDAG8dWaQ+p0SKB68djerWK
fX1PQ33CpMQf9/bg3JtV+BR7RMSaPHkrhpbCYXsgwDDMYtdm8sESxLlcb5wXKqoUtH+ZT/+r0qpM
1P8+BjwjVfE4/cUgUP3ct51S8C888+xAUGo9BV78z04J3x92UusvFeuHOaD3L2zxOPfZxJjme1L+
2xzQA3KLlZvMu2XbnjIL/gPbHyjHv22UlPJl4UukxkYNin/caKeNlpkebRqXQoftfI7NznkZDT32
905D8Rrwh8E5zH3tvrixPRAV0QRA82HUhudm9tqPjHzK+yBIHEYDVj+UG0t43WNr9QYOGmx4azem
n8OGtDYq5Nqo4Gu5wrCZo3v1fbHtI+PSK05bPr2CZns1FcCN2JXb+sU6BO5mKsqbOTFrwfy9HmW4
6gHBkXmCR6LYcFEj22WkT6+Z4sbVAwQ5IrTtolVUuUnx5Sie3eRCQsVT2yynD/Z2BM1EgqWrCp5U
YOqKxDVWmUVmMxxvWDMimv2Qp0Db0WzxEvsprDtFvWNhJ65gQsKjGrpYkjAnt2k7dym4PAk2zwSf
l7kiPxUA9fqYh28dmv7Kbjmm2U0ECH3g3FiB4pN19VDbc3W2APwsZoFdpVE8+qaYWp4VCmGuuH44
3WPaJ6P8xEya7is6PVyeKq0BAarXmzeGjBPAcNVV3fa7vE23OhBBA58Rq0iKlSdY2ooziI10g4mD
s6qCB1EyC5eQjsddIvg/W46cBoPyowBeyN7g1meO51f5ZyOLP7iKcth1qX0KGUKCWr9NFAlRKiYi
dQfhIurdU6QqrcrcvotdAIoNyxIJNdCX4ghI5q5SrEVaxvHuUIe5wC+Xwi8aj9i8l7SRwLovxTZX
1EbT7meO1ZzTATqmiuzoKsYjE6+1W3UKbzYsNcWBjAFC2jVkyF7ZGb13XGRj7zvFj2S8NcKE629n
iaTlALYRijZZK+5kCoCymdJPoSJSujHhE4eto9f4j4zdn7wwWpocvdk2s49Wv4Yu77TJ39ThfMmZ
yGLj3AThlZu1vLHBYuZBdp0n9yVRvEyhyJnNmGDDUzRNHaxm53LbGYA2S+BOviJvxpr/qHEOWHSK
ymmkAMC0JtlkADudqrhYADwxol9ly+a0U2zPyLPZZtYvNtDP2DEfCkUBdcGBVmBBp2Sgmh5QqBYQ
hpY1GjIIUT/14JSO58bt3/Dxf2hBjRqee0oVe1SPoZB2ecCyrsikAHq/5IpVas7Qif0xh5sOyJQX
7y66IX6qFePU0IuLGRpXAoBUg2efNC1c+oqKSg0hTQDMsOhAV8RU1GfFUAUf2mAdhquq6SI/aoq1
6rxTVxV/1QPECu44W3egWY02fKJKfkJ9IHgcEwgO/PmUg3PtjQw/ov08uMUrovJhdrgo+Ne0gqcW
BnsalQAQ6lsbTKyleLEJ4NgeiX8B6FBsJvZltpmpvDHpA3CzAbaPY2I04rZVBVmHURoq6i6oWTet
eRUENeyB1H+EwptjlS0Mpnjkvjd1rndbTJtkm0VJsfJom9dxsg8k3IybmC/Wks/cuQgPgdKRtFbj
Nhwf51pEdzB58mNqs5XueAvWQ67lO4NBDMczlHQVcInYmbhdvOs0C3olWdMcbLbOlCgN/39G5L/L
tAJa/WaZfhO4qX4J6VI/+O91GlcJ6gzcKYYTSmHjj/490TBtZd33cVkZLMuwa74JdrZOZ5xJziz4
y2mloMr/EexYvqlx85hC/KPWZcflX/luGqbEOodhCzMTH2OLB4rrx0Xao3jFh9yuXQDZYV7iqanb
81s4wC3JnBwNADEARsWmeZcH9KRq7gKlGZie1NAPPKUlRO+yQkA1w6pvjeYRSy+yg6OB2XXjEC6m
6nhIa9X7YPqwMtuB/2PvsPV8nXox1Q9Bk+O4lpUWbBrDfBLoh5+jmj6J2hyrTRnTMTGgBUJfVY+O
kr9rqS4KWFjNS/XeT6GaKuZYOodBeIc0bazFAGfeibGutBRc9Gb/qRhNvhE1GgK+BLDMynNALcak
+jEKz1nzgKBES3VnFE0arTGzWdtmosyFejSL0wrp5lIpB5TNrX0W6oWpOjlmcBGc3Nsr+TSel1OX
P7P4TfeGwdmuTcBOZTdJHcUrjD236dwx2jENBkKqWoxH40BEoU2Gjevj1LG7vFv4kv4QTzWJdN6Q
HMR7u4jqGeG4pK/b9/IRJhoDD1QaSWQF/4WPRbvYqq/EobiEgbS1pO7sUKtOk4yZ7+3MY3srWju7
Hak+KVUHSqDaUEIeNEAX5znZsATQyrO0BAVWqapQaVSZyvzeqzKO4F3xldO2QjfdDG9fVOG9w2W3
Mk0rfc2NLfaikZKHGT0ooav5Z2hc8BW6IDxnLj8szkbdh7fww57z2HEWsXBfowZmw9DiIcZE9ZxB
R1uHHVV0aI3LTotOuZoL+Ol0yfGkL+Op+BrPzoqwPGP6Ahc6XV3e0m58BtaCaYwm3X0jkahM8I1L
mYJxSxmCmEWxtWP+EzSYokenZ1AwDWawSHrG447SF8Jk0QCItM/SqbTDZHm031i5dXWcFrNxg5lb
bxfMppZmmxFpT/Pu1NQByQxutAuUekCYtVMfXZuHuFaWRBGI8IP76LdWnL8ok0qnY7ihA7k9DGNh
LXIZGRzAQv+GXqeNVgRfTK09uWlxW/b9Q6hZ57byoD2YWnUzacm0J12nQhYzyFbMPgXGnA96GoZr
33/rtPGY5GAxbO80xWWwRhTe1tCdXQzXvOYL+OCTUxQvs9SOjpGcihi7btI74Vn4nFwLt7I2fRzB
vR6jfR3n+yYFEl3zIfkxe4EhAQ2ReuECG/9r1A98A93kMsoSSUewGGudLADU1kvDzfeUlK/9pnkt
KLkeYMZQuvLV9ThQdsWGXf2moglOl3hiIhN3F0aZuEr3nrSPwTAuB4MOagakaNpj/uDnWAjs/gHx
CUclPXkuAaLAPRAb/FrVxp0z93uvp++8KNYuU4WlHo9HTrkIifI1hqXrNnJNZ3iFLu9f20zc+aX5
JWDSsyhy660LpjtbG91VUVfnqZ43WmYvKz5jsB5UKcFCgV+ylLMO8y8sPtNN8GFQ96ORpXvScNe5
HC+Fj4s8jdDPy51XlJTBcfnc0W8LMd5MxBhNSDci7FcagGJqbrdsFnceKImiSlFvxo3mKEKMmXx2
YQDmWrXTaDfKYm9NofpFoNGuhV5ukbvhcfTR1ewo25HRbmSmVJTaifQO7c3Jaw3/cMpG5i/FV9M2
lyGzM4bry7Cj9Dx/K8P+bgSXl/o6CFpMR4N4cshvUPi3MmyugbnLDs0LiaH7tnM3HFuwno8MWgJV
eG2ugpyynXLQt4XdLIMw4A4MNUVn3vhB8XUijc8TbkO8adnG/sr1qYEiMbrHbbYb5+ZJNzq2WP69
61ZPfkx5upxu++KLmKq3WtdhXY3GwrMUb73atEhsWYQurE/LyIpvrSY+l9K6Y7P51dAYmTc6XdPs
9HV9pwVy57faRo/z+9QpT51jPHC0WXghgwjXqRipy2Or9xu+ijdt4G8Mqz2g4XHBeh1VvGGjaFfM
w8SCA+znoS+f+KfIc4VYEVsaRvkm1SsvBgsvhlcCxljmtGPelftZ85ghevFCNtkm1lgk4iqsl2S4
GH273tbs5CP085eOoOxE+ztRPMo+qAoru2YnfIY5Y8HRzAkg+8inodEfyya9KzXA3citSdjz3iEF
iG7ndQ53p0ebsLwVZX6soPEAn7zPE2/nj+EltOa9sIuDDI0zQp2/EH2yKZA5q1A5/eGNDz7jsOBk
GeNzxcwcwm+/RAN9CBu6ypv2IlrnjsItfeEb7X2PX0xWzMGaWal4+Sl3ogO+On0xEDxr1INqLp+m
rDuajbOtqphv9sD5fFi2g9r0CPIH4qGppoNhlkfNtOOLFuISpLwmv28p81jOZndoSHDNjGglhXSa
ln5hLvWQdgURAZBCmC26ZxXnNSk0TkuK1xLji1vgzuvqp6yJ95TiXnjeUprSZNhd26MzJ3wvc3oZ
Z914jomqbwIr+1A0XY5anm2xCF3TzE85zeJsLFGbmWfuwsxFUtZoK53LpYS25yG0Lo3JXGU5BKNY
XMcIPnI4HkY0ikqDztamrx1ig2p95huA8p5KD503WjexRmyXHULWwfLMWSTozNtJzf8ipbNpE8a0
0tsk+rjGdcjzB5g6OKMZ24A4Tl10bDrnA6FA1pquWgrs4l2SLbV40A7CtLnXCWTA922Mcp9r3Xlm
RNI21efeV7ApjE1hPp6ljeUSw5F3+G5L+wvB9O9mPyxl1Hd4tqX4JT9DQ7qhaZo+EdpFL0ioMT8H
hk/S4/cXYZ/7t20oiBRMlZbN1vZdtP3OM0a4UnfJt2qX0f/UkPLqn8eSuq1VgTXs91f61Yb3+yup
3+S7K5VhORlzyJVM/ya2OS55BpSBfQk+vX9JSnf5+8v98t3j2wTjkcMg9vEfL2cSWvMBSkdXqb10
/bGOPov88+8v8atXxG6ZzbKCANs/x2tDpq+4Y6r4SqVtOmz7aVrnMRbgiPICzn3dH7gEv3hFthFw
aMFfylTP/enEoIKO5qR3yZV++kVikVuItlX2h9eEyPvz/fDDRdSff/cptaHWOW7IRVKmaV1zgji7
+v279qeXof78uyvIbmYEQjnglWCnC0ssKz+EhER/fxEmsL99GT99+lU2ZZUs2uQ6atYCeStIrjYO
s8B7dhjutRezb/9wxV+9LALGytdA4Y77Mx4ng3WSiNRIrl59W+sR9P+9F379/av61TUsCs9sBHXT
hE/x41sXOpbm+rJJccnF68Klb7BcDvnD7y/yq7cOxgymacsgb/QzGwEPj+clyZjy+TwL9xRzUkx5
GAThfdofbRKfQ3j7+yuqe+o/xpD3ozCPuP9c8acPC+oYlEJjIkiNmV22jxYbqN9fwfjxncO4wMDd
s6FMMhB3+b7+9PBpS1TjeDSKa3oiY7Fn8TxTCLp2buM7Z0nRx8ZfapvfX/PHS/79Vf10SSLyxUj3
VnqVLlgyZo9mwEOh3P3+Kr9+7xj066ycDqSQH28JCjZcr4O9dsWetDTJzPrdH9479e7//OkAOOBu
C/Ce41f+8QpVayZgBLT06nH0nXyT3eZLYkekRNI/vJZfvWPfX+mnBxwn4rJhpJleDRQ4/9YJ7+v5
D4+3X1/CoUkrAHMMAeTHF5MYmfTtOcquQlwc4mRjYi5QNv+w1P3qK8TN9u0qP330WSPjboq4SpJ9
pt0ktLR1g+yHuSHrrlq2zZ0/fEZ/e1kmxhuPHi5EJFxU9k+KjxnggSi8Mr92cls3L4O7rue7f3ij
/XQJZmnfP7aFjHhD4zq/IkAuDI1aoNT5w9v2t3v5/RIKigGQKmDO9uMl0nEstJyT1rXNP2vzHpHg
Dxf4263MBVDfyGg4DN6wJv14AR6dHhybubiyzyt6yBbpPgEgLIK39/fqv1NZ0/zuplm9dq//B3JZ
0k03r8Xb//u/57fm89uXX5jM+KlvI1mmqw7TVUoT4HG5Hn/0bSRr/IuchGsHzEN5an03kiXN93Nj
3beRLMgUG68DcqeFhqIH9j/RTuGscAv852n3jkzxXHaMPgkeU+Vwf7xFLM1kFlJn2cXQ7a45BF1S
6bgOClsDg5B55Mpc1LxlX6f1reFROQLre26K3bjf62G6FYqVoUZQnf+RqQ6UsUR+MCy7OepjXsZP
oYrPux3lzxMb12Xxnq3PgEvQurmrTAfyJwn8Mpsuo4ZrCOjaa8iNTJ1PdqxI7QuXRhOPHD8u4m2l
gv29P36EcfLFrby7ysIrnlhztYtG/JXUu+3sNrilXeGrLBuThqWCGZKhu+tq6LKHEK6AZluIc/oE
p3g0Lj7sgaHARuUqHEGkwARj4++ki9msyIZd6JrPtoIYDOVEpESBDcqylms2E+muwjGzDsB3I0KF
cArq+KnP6m4lnCrbRhnax6xUEEvpIf27NDIolYSsGUfg+l08MZWOMipFJY6BR2VKZWmV3kJ5e3Tn
KQ3GVWpMqXSZVik0idJqIgPVZkK+qZWOEytFRyhtx629btsovSd+l36gUwF6Qg4KlS4klEI0xchx
k1KNCNghIKVKSwqVquRXDSe/IpiIXaA718nB9jTX2AcZk+WNSVeVnLzM+GTUlr3qew1wU4pbFcMd
Hg7IN9ikYqqkF3Y0b3SnuMViSJEV9W2UVjTZG5idR6IHp1KHv0J92DYHr7Ak5X1uAu3cgtxexGDc
HBqhxlgcKrN5NrXslA74kGqTisEoHtZd7H+2oRhgZ7yhioKARtx5GVCaKTHXliUt6sGdOJ3PeDsF
0YhhnVUpMAFbhky1431fQK4bQ6YOWP79dTFHn+eRx26o4yOvAiakpdI3nUDEjHudz0yeGyWuZksK
btuVBRysN7qVV0wPkbISTp1wmJPJdDlNjO4pub/p3KFY+TjadmAsEnz0EYQR/maqdFNGLR4HqGWm
KyyRE2RLum7oXYoTudJH/cZzBpCpDTiXqYL+revd0U1GuWQKa66TvNVINJkv7mjAHZrK+8EbGWJM
A+dy0Xo0ELJtBeKxULxCED/eWxFGX/IS+wDfrmWXTmCX2dj0DtbqCdehoZM67dupWJc0W6iBRbDx
ufWJDUUroTddtAqdjq2c9l7Nl6RemR1E25Uf/rt+/JXBY0v3v6t69/Fr273+ff2w+alv6wdV0aoN
la+1wzZenbm/rR8ExYneEYBT+33VB/3vDN47CcEGkED9oP2OQvgm6aH2YcYhGPNuXn5P7v0D743z
vkf5Yf3AwMO/wjZVyXt4n39cP8Am6OjWbJN0LPV8Vfp2YdjDR+m50RZ0zKVS56l2Ts4AXDCGTIAU
sPKu/dloV8D438o+ObNAfsDuT+zHqHFwWszO2mhGA7N2ft5v3C6kkcvYUXC5LgoN546Gy9IynlsH
hE8CygR/ybod69fYS89T178xTV0PgbVG2oHVY1RnnpOfXZvZ2BTQ8NmWjLySot+lVbNrgoCUVEQi
y9nMZrrWmAPjdpAn1ywfvEHeDGbc01ZmJ9t4Nl/zRt+Yuv4U64zbvBCDUFUX07Yx8ohcLqEZ220P
ztjhIsTX3JnaLrAYB8bpfSiZuI2WBRu5Gul/5UjRwpzCGaDvgDXrRw6n5nL2B+rehCEWWuFdAiv/
Am6i2k6ELGCIZTibp/AD3t2veUUKWhd47oiQnTPo+6skos5DSMibceU5S28kxOdNPvyv6RA7Hd2I
HJ47jNuHohYrVsvbmDDkQvjBgZohNFanOyNYQoXpmSuPtwloJDDWLFET1Xf67DMXJ2StmeKWR3Sx
IAT6nKbGHY5tUjSApTBLWYAYXevDXCTPlDOuhhwNKvGBy1tJcmISc0xr/WvbUpiXznATzaSf1nHr
wi0Nrdu+ix/jlN8/Ip9IX5Jy/FX2jgZaNhbCsteY29/KNNtrmGoGnEjMOHhUdgb1FgnX0cd2MYWQ
3EvB1mMq7saGOXBJFTa+xn4bRZRq1wLpp5uoChhSfi4nQrUyiszeFmV/oR/j0TFCPve2x2061jxv
q2dgZidSI6cmCZK9Fhks+C5AetsU8yKg6ASztsWTtaNKwCopnAtONaVIDFDhbkRtcoME+8z+id7J
nEWyT+hMsOlgG/hFB4lR2Mjlrjb0q2lSougMxS4zwmMT9ftWVA+9JrdlKxi5lxvbRe9g7oJXrJVQ
51xgnW4e66w38ol02FsrTfzJ4xaxF4O6wOIkXDoIJ17V5F3LemDbE8h7P8s3VPnV800nzyGJpkkP
9tEoLoYjrqYMd/TFXLSedJ2cJOY1YvQqZt+X8bwy5yZfuGmec4NSd+hqcUi0UjUH84+KwgGW75rF
crB7BC9dfqVVPYNuZnlrs1JfVZLcY4o5FLnOS8ceAk+dLlXDy9YQzj42amc1h3bRLIggQjUTwbjV
iDtAmrIQNZBINoHmQwFlmYooJD6UYZZuCmkTSO1AZ2L+Ki35RFHX59kb0nXZUn4ZWcOV3nfVwOdi
be7IYvE4kkCIemESj4vy7sizp16lPljQZKxrOBSQmBxRpO7G6ivXeZDv/fIxaYhtj9Ge71ItwE54
5JnWfq966X1BEoDwA3CPHWFmKFCNhWBwo4li6u//6rwfgkazjv3Y09friDx+ambblJesq3ZlBDqg
SmlSKW1wl0niAPbS51ejie7a0GITAF/etkW/abRm3Pqae3RY/1f4LzEo5O5nsnAtsoDLWS+1nzJG
Z8uYrQnGp9k9WCU3cyaQEfnr4NGc8qUK7dc4pdKv81NM4zPm5SCWECBKfWELNvW6rprnu2ZcIvmd
JxTcMQnSTVZpZ1s0t1rYHwu/fJHJ8HXWrOUwYmhvDXpCooqNfWuNh3jaO7DA2ddXr0lW3rl01iOD
O+CzKADHkTfc62Z6E7bBSUsn9Hrz62zo/CuR8zWTxUcauFbafDCnMV3ZTrMOo+YuG3n06DGVMVDz
8mMee2ed5slVMJbKfLmPLQvWKHrrkoYZdvZmceN62bzClhKtdSCOJivmavCcmdax/jxTqxw4ONh4
FypI8jWm/hKzFHtGnu12tfIIZ6/nhtCCCLUPXbaanejRbNiL+XYarmKN44yfBQMXx4kXZMHOmgMq
5keMIhZ0EzIiY3kpxgqzRTmcKp8aSt8HMhEZ3gWB9IzDtFiO5KEDgYujaHdR3726wUBrsszup1yr
11S2QVgLWECcFNW+Z5rbD9R85+Uh1QgfeP381NcU7vCto9y3I3hOSx5l32X31gbBAw/oDUTmU1bE
Kgtk7ay0fKglALKEDKeM9H09WFfpV3eBU35KWOgW1Bnd2Ow/Yc2ExKrtcBvORrN09GYfQVPkqUsz
jekw44uzbB84k49phpy9b9bb1kmGJaaUS5b0V3YiG2F2H2Vh7BDl2Vj32GOm3h7XmV7ItW749SqA
ZrjVIv7Uk2m5cqFgAGM2tq6Ji7fjDUXvzS8EoNIF4esD4ZRmUbvBwWvHh1yU+noqWQR5ZAGEnKOt
NhjHXATuEtBRBLkd/x5IzatrYAPV2grVS+icY83cWlCrjrXOqkNYedbetpMr9UEfNYBlG034JFeT
kAecM+zmwuQrgcBvNnJe0XBBULscP4syerSc+tIK7/NsW59HV99UrftUZhEojsoljJPsw6J60kt/
x8H4fvDNo5USzKD/ZqnnpC+b4VVFonvPfAuy+RD1ye1MpmcRdPq9sNVDnL52nvXxX1O0/45t8Kr9
ZttNMrB7o6bp7xtv9XPfNt5slA0awiymwCocyPDu28YbBBnECQ+fp+voZP2+bbwt918Bu3VEdhJv
KvD5byOd8y9ITwEzfxu7O4PSf2Sm8xwOBD9ObaDasYfHRQ8ahXHKTwPXospt1EWaaAtrlptKDyFQ
696zx2Gz9PpHs3Mfsvk2VIt3bazN2mdrFT2E+UzvrnI5VwjetZjO2Gkj7bM1ZA+FhhXBsFQgvRGf
3A4PHAiafVWkOz0ShGP6EnteE7KkcKA2deNFY6f5yeh4ZllhPqyJ9oTQXlOgjo2740F9EAPiYGrF
jwWOCTEFzzOuirzyG+pt61daN2+D2HptXONplGyicNacofCV9FVnOFTr9Nj3WNWcopSPk+6/JHAG
j6IywrUxOEDLqvQh6/MXffLmvV1gjWmpHnL9eTfX5otsi5tANOxFvfug2Wazvq6DkrN8Ojz0cfLs
J9pu0MvHttGig2dWq6C1l4WQN0ZKm1I+3YxTcqN83MDRFeM3/lLi1CUxCQDUHW4CZVkuE3Nvlxv8
hot4wpJj3quOEpxHXfZcm2ys+RW3aqvLCEquchu/CJtvDv+piSfCDhel07bMmgKxDGHcwyY/uUU5
QCugAThM+vVQpjiX3BO4y5m9X0yWL893dZl/aVDsV53ZMlJo9G1Db/HSkf118gMKuPHd6KEU21jg
PUqw5+WC6+WsyA6nqsBrPunzBDBfR+zy51WJ12B0QzaWPUjeLrnkVXBTVPbKTR3SmVN6GiLqsam8
YcmEqGzjZMp1YvZCmaEj3ElsZaWxyDOak3KvbZdJAvIj8SputgTqQFdA3+y8VxxvLB3Qk/oW4xAU
KuXXvB08t116BiplbX2eTLgpdp3eCYOcaMwnp1XWgwPIsi7yZo2+4Z9qEv25X56rdHyRxfgxbttP
Ve1DQhqmcDW7LhGxtGci0xDGy9JuL6euXEm6/th5KzInRIwkLm7D1raWmRx3hdGVm4aQ7QIX/LCg
mdQyk5TlAEMZRCjqpC82eJmMHIdj5Fiq8GZVEjfklFv3MFdeKEI8dsZwLmdTLjBeHqDMnvSi3JsF
5Ixcr6g69T+lbbQP4mjr2iYbaL/9MLTJfdVrD3gB9rooDz01NaXr7jM9umA5fxFt/gDZnjd1Hk62
1Rytvjz3EloXhqLbnL7uMeRMxT5bzMOuCsq9oVSXyYb7Fx8iGz9ZM1nHilKsodWvemznm35uyNl1
T4NHTq+1Z6KE3aXq2SNPs3doAvPOSapjlsidnU0Uz+ZQKVJJN5fenKPKwykmcZECUcGXet+W7SMx
sGM4puc+tqF+THdCz4lJ8KXP8pg1K3mMMm/rRCVH3MTfw83duhJqQuJ1Z0sECqViMSmM9viZbwtN
ksTQ62XcN3sZ6E/6SEmPr+cAN8z+boidE+QKwngefihkjSfGljuPRopq6lbmOBNIxv1p5e7L7EPw
15gXBkQTE/ksYHm1jv51biPK55kVzjj2Ex39dOHN7M/vTIb+y9wfcnPjlwBNJg7qB+DMVBS6+RGc
yok4xH7selgnHGLjOL7YMj+G0TQscA6dB44s1ImLTzLpaPpp8htND7Z1Gdw01LVh+R83Ra3To+EY
HxOjP42G/WhlGuS29H5WHyEJq0+VMfJtjNYwvo5GpD2OurxY1D3oGcxX1wPQPA2vpkb0N6kinIM1
qdOOz6IxnI3oo2Rb+8VLZVnnKSDyTZsutd7pFkzSAH7C+Igd8FCDj4hj5u+tdivJCy1N+4MX0YSe
zJ/S3LsH5hKdhFNXez0K76pCnDVFSQihC9mz82JU7tYzVYEvyZO0o6VwaEZzlxHjNs3oLSMVCaSy
1I+TN53IhlF2YVTOhsP51qudBnxbXJGawqPoRvquLfqndkjua+LtUx99CJt2JzTi3OPgfxRDsuU1
f4im/LGrY7kf7WuW4dPS5dJMXc7wxbh17PIydNGHRJ/ble/KnUZpVjf7+6Z1b+fc2DVRwFtjXLS6
EYsYN6DszfuMkSjbTsYTfqPG2sZwW1nuuc1Z79cMWc183Q918tEpko6Hv+sdTYFxt/BzuYlr6C01
zuTEl3w7yeVjQV+4DS+JEfCOkOTWi0RwJb/j456VYj1rhGlMWdOXKQnSyL74JNnN2y5d8awwGJTJ
yq0qUw1pI6SEbhfGYIhHdeouZSAPaT4WBH+mr6JpMZpD8s4mqsqstDEWTId9aBb5oywjk5S62+Ai
JDhixK2ncQ50acsqohMaT3URtdE9pYbHHtiZGw0lZXBu20HM2O5mptdDbgO2R/oxkEvmfDUb2glv
+4ESi6vpAw0a07Vnzh+LOryL6ubY1yYzI0sszdzv15yfn8LBSZW5bd0YLT1T2chRmYiM1XWfZNov
jcx/tkPrLAeM1gRgaIXcdLRy0MD3AZfltPK9+JUn60fdanYkAy66AxMotY5AoRlqx/jwEpKurWY9
VbNz9JLiTLetRSq0gFaPwa/CndizRANFxRzahJeUcH/OubNrs2SBhrKvIvfkjMnOaOjfzKp9EVDI
VerZKvFgoLipdRsMxT3tITSWTvT7CfFBUKrGhCc7ErT+H/bOYzmOY93Wr3LjzouR5SsHd9LeoLth
CMdJBUCC5b2vpz9fkqIEcVPaV2eswYk4Edpgo9Fdmb9Z61t7IbSTxK1NKbQ1xmrf+iCJknAfuNUx
gP/jWCaNh36oTW5a0wMQVH7GDL6Ok+Bm9KkUJsSis0+8Nr44u2rfwIZdAchZNnzpRgJiO5l+JjKB
2aDM94WIbmtmko4RLaUF08HMwGeP4q5JNNXDaBrUH7oXN6BBHTZ+j+VPMRc72WzaWN9lnfHE/n+Z
xvq4sTVE9+ybKC3ILsnTitM9eQLIwzqJUcPAvkwmSAS6ICWnMH6Q0t+a3nwtemJsklb/OA0ss+Ly
sdAdgRbaYC3QR1/8uuiXYzx0LGfM82CLsx+Yn0YBQYtd89qir4sZm8lIyE0QECuczG/lZJ/bUucd
DwjcHYMvS1AMNp0yVIdwKvW1PznepdCLQ27hoU+B1IatuEkt7SptQTJqgblpGlwCvh3iOWxQDIaT
82wPSPElJw3CyvFqHD300EPxONrzTak5z4YR+5syqp6Y3cKEdrpN0vRMnRvetefrO6mOngrVdl/I
cBfUabxklXcqWQslgcZEjFlRqQfVykBRvarqDHf02FAiMk3FL/h1SqaV3ld3QTSW23TO9vjkmT+3
Hakm6ta2radR50GLWQqt6hFxM2yds55EZ5xzSyu2wr0bzs1ViWCWKZT5yGAqOAy1fyOb9BkThLVT
jzs5uOx5cm5zhBfmsxfiKSytG9gZ0ZU0c1rTch+U4qMBXH0ubIEKm9mnKFYiS66qQNBoElYT2NlX
RsApZ7mBgdv7mLQgaXC1JyAw+hSUWWO0T5Ne3cqRmUheuudYD84ZhszUtaYjBMuHKpXP1mjeIkos
jrYZ5yDaHSiUrfU8Z3IvCVZdxiKCO9DzD2uVDroswtUJeWnHBBHHDAYcohqsTJh3ox4btBF1DaHE
SyfLAD9hOtra0CN/jr+3vv+/7EoCcaQjHbK7uOPxPX1L3XonyjMiIUbDyKNLXKKHyE/NPC6kdfeu
rbz+vgV5TwD6825dpe6oFyFvC0QmSxxXdXHvXiTxCb/WmiZiALvX8pMge0izPrbD9+3ZX74XOtF3
zeBvL+Oyu7eErSAP6td49zK+EJIuQFC4G1+H4l4z/4su9xf/votCQBhQOPlz/fy3auTkFIWTpZd8
4Iu283xWWr8vvX7xZ/rVv49Khb8QfyhlN/vz7x+4CkpiV9nFo++wr+3fCJ9/+fdRKpc/VlT/+ff5
qVkm01gHWcPfBzK+li0T/K3uysIb+5bGq79/K794KZLqyJUkzAt5mvzpo0g9GBnDXCQXEe8YmMOU
LJk+W0uuYdIt/v611K/909v608fCtOH9xy70KGPLlqaX0lzCnCD3l0eLM3XqN3//Qr96U+8//5/e
VO7GEm3x9xeCBEN4/BhuuEfUVVz+l++a+qV/flNSibM9bkeChJTS7N132bRzo+DizS+NufHTl35c
2/7nv387v/q6vXuJn79ucwO4knTi/JJ7L7H/bGn/i6+zQmbDqEdFiPDnz28hrlIWEezILjEnINCS
dPpfHF74MYWjJECGSdznn18h13Lqe0cvLrP7MrjnTlGO2v9ydv3qQ+dLjP4CiCt7OWZc7z8IEmrK
fPLm7ILtBAOcB2XIvunJOAMPZf6Xb/IvXssDBovC12WTzPzpz68VkuVmytjOL6Hqqdfk7obTmvln
QY11++3D/3fkqYRdvx+6/6FUO7+UfIu/a9f2X/7f//0NoMbP/D7uNBAT6NwhLhJoC7X1u3Gn8QEF
tsGxRjolQnyeyT9gaOjX2GcxJWUM+U3d9mPi6X3QVTongbRK/iZc75/o1EyhDpk/DgZ0amqmyimE
eRW+GpT7P39H4Nxmlk267qUsGyw4lBiLWqJ3Ke3pXo+rra+UQYNerfyyexWdD81ghEg/WsfG9lPo
TNq97KuVsKeTPWOMsbEJGj4uWBFEF4eQo8n30DAE+pL23FhXWNCSUZ4GkyS6rNh6gdx1sUFDAZDD
c5ij1kEe408c7hy76ECZ6m+akx8xYKPw763g5DrkGGtl4i+8yl5PBoAd4A3bjG2AsAd3WRreg1ua
1xT+FxvZ3aKr8x7zVJ8+JM609Ud2/ZMtb9I4uAsoD3MbK95k4+YN0kKgPLLehiKIT/PclS95y+tM
dr+dtRokMQFkKLd2NC1iw2aSkU86hAxDItHiHCwPnQgStY7NoYy4ckWo6DJK7Y2s0leWD6sWMwET
rmbbVTXuoII493EGNuSKcFMMyQ6oynoMWrmsmnBVW6m+N6biaIo0OuhEjfnMeklMF+XST5goJgVw
osG5q/TIAVtet0smx7wLWVsXL3X2+dCJRTGzQrYbG7CrK88OzHYzz9tl0/qfmsD7GGs42SLN3FmT
/0aVwlqGxb4nnWzVMNJFZg51RLOsXRH6EJOTTHxkFoo/b7T39HDjygrKW3R1O/zF7jK0sYsGc1Mt
C1JM0d32giWpgljGchPRDqznMJrWlQ87yg6Sz7VOg9ZXOitYbTZuZaV7OOoScO5E2xA6F640RIab
fhAy4bg3MozIfr53Os3ekbIxLAfNS/bgeFeja5HfYVkma0k33raFnVa7ugkK/84jjeyggxMOtAJ9
jJ/Iw6xYwzrQYfI5PzKurTnmjZ2lle2S83/dhJ297j0K/j4vjjkQ40bBjEdWYxZ4YzH2T6XiHQNd
e+gUATmCQbjsgSID5hBrF0xyBy45U9zkGoDyrEjKRYFuB7Qy0DEeCe2hHWAuW8CXY4POxQmsi4s+
sAPPbEfoJnF6Q2xOmm0MwjlVLGch208zy0z25fdyZAqeQVwJjAoSmyJBx3oVrWtFh47C/EWCiw4D
bTkqfrSQ8pQDlG4VWXoAMR350T0ZV9Uy0IJwEYOhNqPyoQdLrQEvWdSKVN2DrNZ07blXDOuhJaFV
Ua11xbd2EusThoRjo7tf3Lk50nqfZ4DYpLZa7Hjty6hY2XmdbVPBfKt0naM51stacbU1I7xlLYoI
BOS24X5MtLU1eccSFrdUUG5f4blzON1RDxWnTdIbUAQagLb6udRaUDrAvRllXYc2VncH7rc5kHMH
B1zTnN2suASEI2BQrvHUgSdbpNDDXSkxKCcXMmCWncWnbuA47BVwPMnmT1IhyNusXkLPZZRGSr0i
lJMretUN816CLseMDsNc12G0QDUvo/iuTe1XqXjn3dgwMa3ch0CDha4rKnpdhAgzwxbdKmfhQs7p
uG1yY8q+u7j+vXGV3u6vb9xL/ZIHb7+4c/mpH3cuAFJLsUSRc3uW/k0A/mPFqHN9KvuObTgeJZjz
7s41P7BEdGxEfJ7HApDMzN+3jOYHCF0O/8c/a3NV/yO+PmvEn+5c7m5ub9afkLowR3k/1YCVQ7bE
4Aofha6OYmNOE7nUiX47amMljrnbIA/RxNR9suLwEPnTsxfo87J0489mb+uMXrjn4BOxqVhXpoiB
CZHVO8YR31uQpcUD1CtnWsIraQK1TOK6RJ9jKMx8/WKlfvTWdsKvN0Zuh7Q3HAo5c7mcbcMmhHBa
rdu0MeQyrS3i8+oYwz40S8lpBFhQCYp4dktkZDG5wqi666+aF4wLO4HmZ0c+Y3BDfvGR6aD9hhmp
mZz9wBIYvE0BbIAaMzJz43IuKCAEt+xwo5vzVdhLZW+5sop0rwfhfmQ2gRoMSRTTUnsJaLpbGY0V
XpWWsxWldh33bLNK3zu2ZRgvncDLlwFzkau8KeqlAVB5PTkxNM5Si1du1V3GtrloyQjTgAUOWHE8
o0UxrEP4rXLBAUukR2RO9dfEbO8gnt9R1AFC79M2v9aqZD6ZFnzGqtygPAifSO5cuq239AmhxrYL
c8kswq8c4PHSKBkaGoXHrLBbycnM7jTHHjalx4zSrXDi15yLgCDlrgTOgvp5JDfZdVaGnoeXPgA7
FpVgxEwgp+2ooewZmNACtmrEVC9M2eWL0qCWirQTgY2b3tHR6XWldd/AMQe4BAZjSr0NBVfEShj5
C4sp5PJuSVJwR2GlaxQrixwG2rKZWEq/exSvv5eN7wcz/9Fl8sAp9xgFAn0Uhe2fi8lYhINIZBOf
DRGWGzMdjJdw4u80wFv6zQb87/mnGue/Pv+u0y57af7z/FM/9eP8gx3InU4T+83+4ngcjT/OP4P8
NzQWrrL5cUKqpKsf+W/ig8V/0j0LWcRvp+aPnkN+wEqD5sg2gEl8E2D8A20zeo6fzj+aIZpS1M0q
oQ5U4U9fEysMckLbJv1ip9hHduj8jUXlVckp9qHZz82NF86PPFsLo2rT7RDIR/K0m0WGItKmjJJ+
Wi6iZLzHas/xWdQ3Tl9sJUrfDkSbk417c2xWc7ezY+25CIKDH2wAplz0WAYnKlNv6diTXLk6s8mk
YTPtTPOX1EJxBRY6WcB0eSZvDmieqbUba2if5yLbDYYZrEy7v46G1lxXpBXx38Vx7qF3kvl0Qi4O
a8lNH3Ktm+APibeobL4Os/HF01jJFF0SLmtjvMu8ccAiA7ls0h4RKXIGzEofiaiwn+U5d6bpqFnJ
LXeEorNgTxl9TjBSw/h/mq88xYRxzIRs9foKQIMBUzfCZ+FbxioLCU8HePxZJE/2dI36F28LpiMb
NKOj/Ne+29arwRwmi0wU+BVcDiYlVElsHYs9BLsvekS07joaMSKRDhUCP82THX7Kak2QGAkD1liu
uToGJIxSDbIJIhbTlLDY72tCqiLlgQmG9gYFAxrOOa1v+sKMgU1j9y1daksDk86iqTmCw4rA1ixP
MARVqLrmmguKpI+1VVveAsUlBLgutMkcAG3oS99maTlMN4iDLEAqsVjFA1EIhVMcJBuBBUHm0cm3
RbwaZNccQmAN27HmwmGcj6ivQuwNktf0t3rSfTVk4W2rsOqWVeIHO93RXvuWjw/yV7UGmQvBuuKs
jBC+7CzhvEmtsBddNQxr1vQG/bG1JyuBwFg7Tq8J4UjWepMT+adN0VpCltxaqQn0om/srRdWb2js
5RY4M8i4Wkuv3bkIDvzlSBf0h/zFQ3uLJjcSO18o6bqAR5sjUFyYepvUK91FW52RcvhaTtj1CyCD
i8am6mw9rT4OKB+PwdDV5CMgClKRINsSrjZq9dAilNf+GjFPg5YUIjG3zC23CMNyMWfIYmQZUup7
1qvIwFaA+aLOzyIXaA5bkqq0elShg67xW+YOmucufeWZCw41/cJuICijXYdQWcR6NL2R4p3S+WsK
8HvnEfx4UyjVL07j5tj6M0kZZhktazF+TDU9QOWS2ovclAmKoOoBDGWwFLMPnEsOBd3XiOameUa0
+JiSLbHwPck9nc3gxTLcRLFwYfBO8YOeF9dx1USfJsna2AiDkGW3BxqqZCU0dzdRjmLAdkh5BHFW
7WXnvIVp/4nSZzMEHuBMqX0d4lYhsaNnAHsHlERPozO4W+i9CNizWh0i8sSfYt8l8mvBc6qpO7TN
vI/Cs68rPTyUJBUs8ro4u8L6bDjykTCHcaXX43U7197eq+tdMTd3zSzvq9Dx16KlCam6Gs/bFC1o
xKYtSRaIYnJW/R4skYGbufbC20DU9sINoFmi/a+ONoLlMQbTPeTGLirCQ+L6F88cTtpoVsra4fGk
4KnCvMXeMkrh4aACeY29PP/kJG28C8yeTa3VmWzipHVwYA9gqUDYbNnZq2xszizR5ezAquti0O6c
plEA5SQ6BKz5FyOKy3UyDR6/ktaCwYIxVI6cSX4xBDcZG4hFw+Ny06mHZxa+D2KTF21LFMkxSe5b
AXz+Ng3qcuUZSCU4YbptE2NP0OxRbktLn9ZzHHqKkZRywrjTduymeO03kckKObPWco4hYtf2V8rI
eZVY8x5NxEWgksnM+AoLdrY2B2FszQEstilKf5MAb9uEri22KVLUlYUVbWc4o72KS1bjYTqzsI2M
rWEqPmrMbxtmPLVEusDnziHjUWAr3iKnlACJuh1y3qld97YKrwuI4tWdrRYzKYszvBtVAD41zxhs
cEx13+e4/5Y6qvz461LnNurfWNd/+UW3p37wR7WjWx/UKB3Lr7CoKahJfxQ79IEOJlwqGlotJqnM
Pn8MWKE20hfS0TH4tFQz9r7Zw/iFp5gKXwXkgm38B8XON8rF+/kqglWHUgfogUOmm/kzbCU0cnbi
nUlKQ1FVpXulpbCmCPyxRJOhrbfi5CI7w0wQIvnErrBSnjc6xH+X/Ta2VBBq6aUrKo2zedT2tp2b
p46LZjUYTX7MfJndTSZ5291olVd51Baf26AdDkY2JHeWPsCLLWJ0kO3ovvlGxBzP8vyNHtcQ2lx4
jp9CwU2O3gBAej2QWCXTbWLow2pOc/sVQq7+VTOj+dZonKgDjoUrOZ/0FPelpKtwqtVoxAaS+Bhd
YohhNMs6/6NBrXHblVoa3gmCs4Jmm7p6Ne8Zu/loSGi/ydrW3TwweMFOoBxa9DTtdbjigCmmF6hk
/U1d697A/LI2rJU/Q5A7O05JIJAdVfG9Fs820p0+cV0MpE5Vo7IwQbPbPUwJ0O3m3uqzdj1Tha7c
uaULnA5eWxKxqlpe0dfSPvaqG/a/NcaZ6pHJPqZd1irVOk9RbpokSDbxfkIgJlfFbN3irOvdnaE6
8IJWvI1Tjn8HetfJRqq69yrCmW7nmAnehDB+NpchX8zhlMl0yrXvjda/J4LJNvavT4S7l/z/HIqX
ClrVLzogfvTHmUAHJHVECDxzP0+A6IBsUKmgIRChWxj9/zgUiAHmnDBIn2Epb3/Tn//ogJgoEcT5
/R/7dsj8gzPh++Lt/aFge0It5RG5W2xk4A78uU8GBJVB5Jzqy6TxiJWQQ/SKOWLuxQy3w/wSWc6J
5yk8O3aNPcSxb6op4YkLxK3pW7dJjVuPoQ9OnRAVKflgrr7pze4qweio9ejOcv3Kywk2M9yWsfj4
ion6SsBcXphdduYk3fiBe9WE2qaYtBsnDu/dKX/EXbn0/OrNowDn6WPinu8T0j5CMrS5Dc09NswH
pJJLAlUIVEzPHWpn5KTn0SWcRjrjFSrxrU0jgDvn3kaYh9EjXqf18Cqj9uRT77W1+ckM0m3ftofc
d1jvyGNvVWc/DM+S0DgJAT4Iy3OHvscsUH2PxqNrceWi1pTTtNCS4hLr8RnO3rrv5Kpq5lUo+mcZ
Nddh2J2CYVr2FPcWsin0qufaoGyRXxsEuEALhg4FbHeYpffiAyAk//QxjntMj/jx7IZshZkbPV5l
5bxwyvpuaiYG0mN0AVe+A9mw0mPn3m6y3Tw1t5nXvubGeNa8/MyxdtU72Q6e5SGrp11XsSEJSnx4
JVkriGIBUpuBdeuGbrmgHdy1LtFtVjqckg41oT5Vx8pPXszCupWlswwZ+S1SMow7rb0KjGw1B/2+
hhqI9PA2luNeF/6DpazyWHEdOOmLCgmfr8SioS8qENrVibQ1kLRDhZ556vxVETkvbo/su6xwuJVk
ogVj+WgYtADZML6CTpfYeWo0wutmksNM4eXV8Y6rI9y3BZP7izXPeOJj1JXmFuwW43q44DiNUU6i
AdkWVYdxEZ9TUrTlIQfcuWwqplF6qpsndGI9jkcYBukIdUBy8q84N+NbQze4biCzoo7dxTnWZfZ8
0Cwjxp05IP2lnndAL0tyeFpPxATCDNYOCb6N7na6i6ypWmGtY4Jmkp4yd9i4SLGhjwyae/ZhOP4d
evE4JQLYw1k4x18H20fipRkfNcP/jA965U3WZcahbNXJGYrCsEpoK5mRvrHLOFEVPmrchfGp7lpY
w5NFx1hCizedYB1lxY1REI4Dc3nFUq9FM4fudw4V87C0XgNMDQtBONKibKpuBS75THuMsHOMv0gN
ZVxvddmy79kiJIb3FpTyUz4Z9zBn3vj96e8K0UA/MNOVWWLXoDgtV3ZOWiirT9SkJaavtEbeHF36
MDuwmniwxulr54pDLL0DES7E02gIkIPwIZqRIGZpdZ78ocLTSSdqdJpzKlIf4VGIY45N09oIe/DP
FkEMg54/DVyxq6bKvmiFx/JpHJQANsg3cTLufS3dxgKRuZx7hiPsohAPXiLhvlIav44WcoZ6zPje
us7OdECRumHKwq7WGOigAy8pvSvT2PqF8dQi811wTLHyZBEZ4HLvnOhpCkz+cc36HPkVbjAmM/DZ
X7WuXjUG1/PoC1w2/qMZsJKaWEfORscyDaGp2WnGEt4KSY51+TEc8JKJGJwePgzUNb7/ZKqQQ7/0
Xb5f5obtNW4wOfCIRsnEjo7Hsh48pIem+TUTxrjt/UAuOhTWUUIc0JBVexTdDr9bfyi95jJm9FzT
3NG6mfshFOew7TFXikM7eDgUNIblkYZ7sxPjVRKKuyFoj3YeftQnF5I1dt0cUu/CswZz5YzaVcT+
jwIrua9Dix4lK91V6pZE9YRhkm/qoQnCpVaQgUGIlsCQ3Id7q6XJSXu49sLT8JIzNZpygr7yJis2
Y2ccyM69KTMc064+pjdR0UfLb1fwv7WIiV7m72uRxZsqqX9RivCT70oRan9Gqug/VBdC5/KjP6EU
cTAFGxC3UDQq5NDv/Ql+N8gTJCT/GLj+votyPmCEQ9/EYYJaQ0Xo/aNShCLpz/oPadi6oD9RmyhG
vOq/vxOGNd1kE2rpaSBSsniZFvteWYnz1EGaqvw7iTvtNOXoibH2CEa65Krh9hmw/ZBAXKxSjECz
cgSxtYiXFGTFwlB+oUo5hyIsRPQtDwWWolJUp4nKnEPBuyqV68jCfuRjQ0KxsM2ULyloYdQop5KN
ZYnNxhIdXrP0TXEjlatp8NC013H9KEb364hnfxMP5V1mxPeunrHPSWZQlpo7rzNZPVld2a0ivVxl
CTFacVDi6Si0DQE1HUuQejskGhJd7N+LpssOING5zdgpY4JBa6+t/NH6VKa9Nt0wZ/T6DYDjAeJC
oRgtMJtESXIHpImVxC7PHkluSgV66RXyxVDwl2oy173CwZB3fd0pQIyEw5EpZEwn4i8tDBnGfRIH
nGcvzPac9vdGU7jQZ4DOMMKkdoJD4yogjQ6ZJlaImlEiJUeXztVa9EfHb5pDJfJXLHFxvcLzjlvX
hkBErZZZxk2VBAkDXhcew5R8FGG/TlxuQ+ItxGoU1lNuFQ+M+wpWcWNxJXLCvzRXrnNXXsyg3Odp
cW70Zpvh0Eqlexht/4k2m2I1MSdgq/Gmyy2x1zuFJ+J9Y0YYcZ85CJ9FSvPD7/PoBW106CMWYkSA
gbvXfRJQOZMvCNM+psr1wQkHaAcjiPXNEtIqdwhYJDT79TfTiD54p9mYbkQDzkE4DZNy5TGpS3Gn
ENS+cp/MENwr7CgahpkKe4odu3scmduk73ah8q/0GFlaL7uMEtvmaEAix+piZXzydLxhbHfYHONH
G0+MW4TbAY8MqX3BQuKaGXHPlLhoatw0Na6aqNV3urLZ0PyVS0dZb2Y8OGM/YMbRseWM+HMcZdTh
I+fY7+K3mLKsr/ndtCmwYSlh8HFw+iD82Zo4f4ya8bayArVdeprxBmXKJDQpu5CpWXdRN7zmWgOg
42Pd6fpSVvImwGdUMkTLy/mAy/NByHgAs4wnEmcS4XcMUllIRE3yKVPmJc1lVqfsTCa+plAZnHRl
darwPElfL9Yio8Rx5vOAK4rkHKrC4Vg02qrANQXy5tUsBa5Q5acKwsuAv6qqh6sQv1WqjFfCIPla
WbEiXFc+3qw4y8+dMmuB43ztlX0LicaVVIYuNFjHNOV/htNrUJavoc72Hh6wXlGnlSlsHLGHucoo
lnzzjKFqn5bONydZiISayBgneI7xmeX49fGf4zzTmh22uucGR9ogCd7GoRab3qcWx1rWEdNY4GEz
9W7Z4mmrg/JpUiY3I6OkGiznysP/5ukVdGZliatr8ynCIzfAkk6Vaa7wrBsTFx0auhtD2eqmuT/Z
PUa7EcednzPilXW5C/HiAWN5jI3kiqCBexfw+yKNxW2Le88o01PInDIR3WOSWXe1svll+P2sjEdN
1CdyKi+jMgQGExOgGI9gatAR4BnkS3IolIkwxE3Y+EihlL2w6/qnzKhIy8Cq0ONALHAialI/asw9
F9Wg7S28igLPYltX+wwP40ANJufkapQtYTPzDQnBbKNpE0A6HMeSr6yXISjCF+njj0xItbAqe9/i
m2ys8sCWZa+b4UOPr9LGX8ksLmWw7m96G2MFDswEJ6auLJkz3kzfIKMPr2auTJsN7s2wSI4AIz6N
uDqlyhBFC7PQi0osY5yfVh9tcpyg2JGPEc7Qf2sTigjmBow5/6Y24eEGctr9Z2Wifu73yoRdMM4A
JC1KbGqjJP2jMjE/uOhDPPo+NRxV0TU/1sToWZGt2MCD2Wiix6ae+W1IAgILDSkNGmxcwfiFWuIf
lCZkGv1cmlgs3OABCKawqHUcpLPvSxNC4shxrZ3ieqwFqIuemHmLtdRitoZd6FLj99OErUoM4sKb
EEeRZuCdHBxn+JhF8RQBeD8B8R0XjWlWUIcda2ePXXMeEr/8UrZ+tnXTProKU5cnMkCUsyylhgE9
A8d03dRZe4HEZz1rwmk3us/QeMkiAf9e7ufnhIaN1W54O40pAd+6rh0MSHrb2XOy+9ab7GdCQ4BS
GHZ3apvQZZKSF9XC7WD+6fZUPJidwN9uNsZbYXfpE5nC+S6wGUWQzNK89IyzSVDworVby2Hrxoxy
u7AvbwbMQCnn6yaIgnLVcx5zamsYfz7jcA2to47pYxo3bZF0W31uO+3NCmQcQkpPOzz2fpPXFzcE
3OQG+hiSryLhrQwdINMZHIg7nD22nRjdAyscLfZzWMcg6vXloK1sbFPR0dFyarGoS6dXDMwV9Q7V
j6z88dkZUvNl0ly7WECJyTdB6NiHqaNTb4difjFtm+16jkWIjSV7kyhgLeqXffDKNylaEh0/v/hN
OL850fhUa9UmD6KD5hbkm+jQhQabg1Yrh4AEcr2btslEkkOgt9NVUoy0xq1MwPCSqZEyRA+iTZO1
JqdhnyG5TapHy43SfSr1exNUyq7UCK0NVbqczaCA7Xjj3Hlhme1brZX3lKrOeZSVWGVGQZAZGmPY
4pjh4ECl8lVzofqbaUuExZhdGPhqq7rt6RU1rRnXQ1rBqsRBzvxHK5r9VPo523yPQQm8oE8BBJLV
LN34fgSwdOUSAAaksYqfdWKml8NM/dAkRKjO3agd+fLS07rM9+Og9p+wDQz3eVxjoy3G6E7DDncd
9imCSfoF8vMsqyfasEHb1DOCb0G32c0qYGLnLgNGPMyuAaE4JOqlXLLjYN5ga8WVJwpHfyuLct5U
EbMYCRqBdDfq0n/P4m9nsdLM/81ZzMx6Fb0Fv2oT3x3GuvNBeDRiv4n69Xc+AdZYSG+UccdGMGO+
4xGa5gcU/KqB/KOD/DGxNj7Qc5pQViA6Ay3/Z33irzSLlokhwTRdVEIwipSm8V2fGMVxCCmoNU/Y
tFhh2wBZg3bZOXZyyCKCK42l3s8u+g/wCAa2+nya77rCXwVhTiVLwPlLEuZLs0V0LKpPsZvq+vWg
NzgG4n5ilN30ubxkRQumx+zSaI8B3/jIrF6z93ojGB1JqbWXzDf9QzI5ol0bSRLrd5ErU+s4B3Pa
fGau6Ayn2ixrm4kHQ2ayNt/IG0d9k3Neof31OiIw1YZGflvWtNXU7q3UoLea5zBh6qlEl7PlMuJz
q1AcDSXKrKsqJsoZ6so65FBY1lXdrjsxRUe7nQi+9OeSqo1MnZeugVG3sCp/mLesHuYlqrfuOjTs
F5xXnzBCf44d6mEMTtkS9Nlb2WZvjix0YtGyyvoCIwQoA7bvKhj2+SzsTQt5CQh34Cx6Q0TRckg6
HXX+gAaBCvtR1yIAK8ngfx4jp981Zm7sQ80Pr8htVbC72j0jfRxZvJXVFpdHsYSw1ALgzZFYeMx+
2cJjp+79Ex9uuXJQ6jVD4xN5nx29TgK292v3xIBg3icWQ8PIwFpryXDrRlW2qKEiLszJi1FnIkt0
82RVepLtQahtvX7epTrlLfu1LVNH6A5NliwCv0YoYI1PFkk6jFrnfuE69rbQJfd4Oy7bsB7Oicke
QoTIQGSqsjrxUq1jrTQumCuSO8Sv5m3uOPlbLKwa4GKUP8Y9oUZRVJFH1MfHf0+t7xUkNd3fnFrt
Sx41KV/ZX9SQ/OTvNSQxxR5LdgtBNT4l5WF6N92Cwo2VEkW1On840X5s3z227y4ZClIgBFTYpt9r
SAjdnD1obi2TKZdr/MMIY5PX//N4yxMeBlvW+QzSMLDwq78/tjRPM5MaYvalw7kwnzBb2PFZt0Rs
rNs2Q4wVVT2uj9Q+2+CPO2V2oopb10b2sdfTglIwu6qM+plM10Pa5LcRKOVWMZXN2D+hMD+VI9DT
HOwyAhvM54CYKSseiTV/Yyc1ApowGvR+TnEDI2ijZxZYtxlstR8mK8NC55u28YkqbTFCnF3VZp/r
rwZhn0wUghSdUu8RyuqadXQwEqfFsYCMa16IXjpwM0oTTYyvCeocpy/3LkKZbeXKgwN3wvpo+i3D
FT8bYoTIktrwqo6j5jkefBilvZkZgL0hby/bjsR19GtM/6TdANOrbQ1sk9r/JLnbz+vq214o+7Yj
wr/+2nEBALXIH121SGoper1vqyV2TKXPke+qtVOsFlAKrBOplZTR4CvDdUOcgI/0j71V4TPxYo+l
1fO+Za/Vw+rL+4HWNV/17L3Gwb5IdvELj41YnRrAUKOXUiuOLMa0RdF2p04t0Vy2aWTcQeSR+m3f
aXuEyevcr84e+zfDJFNZG3ZMEQ7gYHcBe7pA5ueMvV1XgGtijydZTRjs9cB3kqBLppQeXBwGWosq
Le9SNoFuTqJsKbYDG8K6BT04DnuO8cfMpUpmkyi95pCq1SIrAGMdy685MxWL3aPJDhIa59Yq2WMV
DUiN5lom7XPNzlKl3pXsMHN2vKhLCfibFtKezyQ87hp2nvNQnHp2oBbDFD5L8JXgOdmRxj5TOXam
+Lo3HTvU2I63pSP+h70zWY4b2bbsr9QPIA19Y1ZWg0AgekawFZsJjKIk9H2Pr3/LqVQmFVKSlfXe
oAZ3cu3KlBQYCMD9+Dl7r/2kGvHKZsZaau3noGDoKr76wAL/WyMWz5S1zXRWEUOqjnltpyK1qOJj
bdImZJ7bztKdwXw3RSDL4BFIWJJtGybANmlkDhNhR29AFab38H/vCjmkrSGt/NI4aEySVSbKctyD
XpqUw8CsGWFFS5wjkdlMoX2m0XhT3TpklMmUmpp1PzC1LhoaDvZUf60t9bp3xutaDLj9oDeuLGbe
kTkw/PZ1Nh8Vq2yKySFLUmbkkVpo9CA5+S2MsTrJpgGDhUeqE5rMvpFcKGIl3THnyxSMRzSuSz3T
DlYUXI1Vay5HpLiwvqylVlVPbTzx+Gnmsiz9Ne6maSVp/hMY1osBg9XKzrpb9lZPkzAbJ3rLhKyY
mWjC/VloGbmVUgjBs+ylnNGZcuHr+rVe416CbgS0duQbpwq/jEtp3ei0xyGwbcowkVypAfVQjcpF
G3dr9Keu4TBgG3DH8XTwbakqzeKuuaz8cHJzvdmDl69x7jZ7EXYO9+WgVdJagXecmdWxVOGFDFX2
UuoZX8YsLXE30Q70SbSLWrqhqb0t2lhb1gU55bmg5/szG6wEN6aQsXmoIRnOcVQesijFltVKLoee
h9bSsUmq5CdK2XzsxBA3ib6gDiRJ0lY3RMQhzY1C2OZxf23m6qcWm4hkBBtb6tIVyoEScvBwYTj4
QHqdFYBEjtJ1yhwbR+V3C0C61SrupkNR0Rk2teiUJNVdb3aMv8PxNjBxTYZ4G3LUhr2dnHCUKm5Y
UUOA0sNxmuVEMYliy5CGA5rndB8aZuL+Z+//vvejhHtn7y/S5/w3xxWdn/pr30dFAytRYev/IZX5
a99X/0AUDcaRdCn8IG8pjjZnEgfSBQcJvFlkzPy971MSaBwrcDvrHGcEFvLf9I7sX/Z9jkRYUSzk
PJQXECV/3vd1O4treKjTyW6D+tKKYVYzDLIeiKFXd9OQJI+T0loru+3li4Ej+qKf+3AJnnz+ZDlD
exPKRbqeZwB0FOi+Z0ltjSyhCj27ko+pcBX2muIfDMOpr6hX+fme8mPZzS0ErKIcNxLw71FlItW0
YbuBTpMwzJbzdZxjWJSneUCU1oxPWRgGu6ISHECpjZdqLjOise0Syt70yVFBtomeip9Zu44eAm0d
adjnCRGxdUHc6kg4Lx5P+ZSw0wLAJvjBMSvE3JHB4J11pHC0FndrPLewceMYQJAy6Fdtni2reQ6E
QOUxHAMfhUpPA7/cxfiFgQ7lyVadHTYGhpqXgRI8yMm0izqtXullfmXQu/WwPEvr1gzm3Rx02i4M
ZctLeQ0VqWq2Uas7S0p4fZ2kue71qupvTKW3F7CXk12VlQz+iv5qrnG6likpjDh6Z6TAFPoJagM1
cI6xRrOon7g7UkeXLcK8hs9TUU4NroPlZA0lQbfNDqHQE7LKkUBY5BZ47WNPwYgdBtXcupz9Qg9k
bb1MhWPbx7od69JiEl7uEVN39uruFj5vyBXxxYj1G4ER2gI5oPITvvCBoV2CUdzUrKvMonedjONa
xUquxkPrwK7DX15jNO8r5bLAeC4HjQX6PNqWWNJH+kacIw3PF251U/jWGdQHuImBeVt5tm8wtxvC
5Y4J5aYPMUo3CP8JscALj3v4ZGGOzzHJ95jlY0zzJeb5ULjoZ+GnN33zcvLj1YzRPpsjorqx3jsQ
O/FQY8ZH8FJizsfoSMcSu77pd/wNBv5MrT9rwtHvUO2OFlnHWP0r4fkf/RIwZQkHoH01rFaJUTQu
pIzuRbfZg+gkMw30i/HgDHQpPQvjwEFBfklUyQQymaAPDVtNPR4CyFrb/yzG39tH7y/GtI9WeF5f
oublN2uy9nZNVomgAPUBrsiC8v3TWUz7A8YE03lhYsXj9Xc/nwOXoyKERN7610/9aCEhn3Y0yMss
yg7sMeVfSQ3OTa/MF2gdcdgTMwVOYmcrspHKsh379Xya2/vK9hcsld8bjP/IIxL/wt+qStuQ+Vc5
7XEYVR2VS5y1qDDHm+VYaiwRxP8RJ2GkYL+NL32/ebMbMiwjLz5/63L8+ZP8eh26eG/PlGgPS/gN
Bva1Ekd8fRisL+9fQOCR3/0kZ6KMAPuR2oV8EnW0KJ/uLNwngIEcCa147+Hrc5v+sew2XXTZFv5C
ib7GIRC4S7VgbYdqUS5assyNANwBSQn6VRffDFlIom32wa0Qbcl3f9Oz87UWSX471OJeaJ6PD6sq
7zsURoWinwZkaj7lZjTRCMfgx/+1zT/FR//4nYsh1S+/ALGsholQnUhh9UxKm2ONZg+3phOtn0jB
9FxDYwetgkml1CtKTsgioFZte1cTYmF0w7WSDiY2mgJghCzNbm1wrFBLdOirNpB3g9PipkqzBzXT
doMvN8wrpVi5G7UsXmuJE9sYklrK3tirzXpbIqmAQbliDoHOYCLK5NSbkZcFLKSI9jtzXtejc5mp
l7DWVj5cTj8lu+IW+MaFRrhxnZjLHm+sOkDHNcgWoTkwxeUyIU24xEJlYkSZ0bdHk+J2Snew5Mwb
ys1UPTQxbFlJY96b75VWvyIzKh6zdQ/o6S4z0kWpzZyyndtWN5fEX9FmxbViRIEOoos0GNnGVFMk
6SPOZzYbXMKO4TciuPvw/sMsjKhvviH60z+/+GIC+fZ1GSIMwe3YzCd5rW387Xxo77U1JNETiTaH
dkND1bOXjjutNHdHQ29VLMdHaYtWeC2vkUGv4ov3f6GfFU+/vr5i7Pimk62ndBAy8cgWybZgIDXQ
tVlUKwKy37/O757Mt8vR2YJnR9mchugkThIDtNvxSxW4eCjwaZr+93PKP74Eys+3+PtHevsSMJN9
+5Ecvo9acyL1FKLTuoRq241wdBZDQz/CDU74KN7/aL9bAQEsaAInRmTxebRrhsfWslJNPQ0gO/L5
cy9dvn+B3y2Aby9wdu9QI1kERarqqemXHYXgILkIlz74FB9d5GyVdUbHnMkhVekz7edq15q3qvn0
/uf43Zb09nOcLY8TezV+f0M9kSVJoY5v1rx24qPQLL9e6H9ahHkRvdRFU3xr/7f4l1+KcqoRALf/
5+c/Nt//HHwtBPDqpz94rzGNV93Xerr+2nQpP/r9MRX/5f/tX/4JzLqdSsIen7+QZ4wSsK2jl1b9
tdsstAfvnFUpjw5d1Pyv0+eoKX9XIPHjPw6tivMHBxZDIU0LgxJ5LD81q2lWyfg/HFkTxvi/m9VE
DDj8jM1f0Ew2hErzR4Gk/4FAgR/DL/LnZO7H7bj8XkZwJ//xLf75pWKd5Khs8z+6yr+HlunsJa5V
zWhosQcn4KQcBPaR/lFyOuKOn9ZigWy0NZt/iMExheJrHfh2ociUQnbKdBqP0MO3DKec1Qi8tV5Z
2XgxaphfiYKemjUqYuC4UomkUWlt40YlIqBgLOSYF1ZtOc02p5V60dWSTWOn08zqwjQlefT0hmQB
EgQURJgNiXsFJ5Zyk4RZ5kEf5UQ0VuyHEJW9QTGVNSpn/AbFwMZqIpjKe/MyxhZGGDnWuK4I6AMC
JIKiSu9KWucZBMibvJ7Db1lMDpj2nV9q45j28FgJrqmT8idPoRWmeOEr/LR9BaHieqiuWiyidVTN
q1lSDBQK4YNWKvtwDDkgkwWzSACRa321RnR6GDhtL6xWOqK5+GQk2m3lNDc1VOog7z+ZRpZTylQF
IBT9UNW6F+jVAfo35JIgARYP6isYzf2AUQ6nj8hvKdZyRH6PTEk0F9MO4dpjGceQ0VPRRS6qUx2Z
8Qa3xaEb5c+hmUz7sNQsV/fp9tupgnO5SJeT45DHYjL9Y62nrtOyVTuOxhqYwryvpnLf+9J6zJJN
K0XBmqFGvSTEEyJXCXctusgYnXm+phMuEJY0N+qtX0fXoVGh5s8NUsykBJsJ9WTQKNu8GWuvDrOb
om73IU1vBKmy+TL1Ca6EOhhcWTVXY8mjOiqRp+st3jmQWRmBkGNZXQw6+RVKjDUgYaqI3ZK8pCA2
bgx9YnYy6mDjc1qIue/ALfB1Bn5Te1GZvQTFBUZ9Au67SOWvutl9gcNir5GDZnvNoYtILI4RXZW5
naHZ0yMD+jVyMgv9jcNAeA2B6yWRwu1sSsdWse5oVa/T0DdFsxmPjO12mnKYM/uqz/OVE8NPqH2v
gaebmRDY4NSv7aFVl5XGjTdya9PI/T06GlIsjWAJSeoJL+IFOUakotXjjlPN5cw/2iuoDQmpm3VS
rErpWW3A1knjttDng+aTVWd9Gv2nwp53wLLtlUEuXm0Zd9WsIJ6lZc7AuWttQoEgCRvqdBn4sUKQ
TcJ4J3Ee00B9FOMyLJrKwdFzoo/0EyqWKdNDN5zxdBtztbJC6dYemzs96aHIUQQYYXCp9yJ2MqJd
nvWEKVDy4IwDqtMrn0opvLXt7E4qi8WcDyvhWFKtcVc50m4cZdgRsblj9L1OTRrDWPmXWqGgle30
9lof4h2fb2/E8hOeC8gZGoctgkDClaqVhIXqY7IZpUx9LBAQPTR2QWN8nCb/Lmv95Hr0rQbzWqp4
eu3XC7IrwmUlCQh9io2azOtuUamSvBx4LQ59aUTHThdxeWnd+43blaZ4w3Dek2DqCGNO5dufZxP4
M03gTxIeEa9vTExl9ChghfRwK5yGh1kTHaUu3aMcCtxANa5bmRBFrRqqZdCXNorueA+e/CYrE9IH
BsLx+rIJVomjP5gmiRRmv6w6ienN2OQ7G3/ZhV+iqx5n/BaM+D7rRJkvzGoKeeVQcevGrRyUCfdx
Ird2Cg5xpsyLKfGvQEJ/7kbHjUF72LFaiSHejU8mrqaVT4jeYBPFmz5uv1n1cCIzLl4FDAwX2pA+
qnG3Ck3rCePeorMbdaErzOL9gfjptskx0AsBkW8sJ9RsBA94caV+ycx2xPmF8z3vH3sgGIbeEtgR
dU+M5VZlzdecDFAbrXslbz6R3XZvKAXosjG+GdPpkDvDpq3QlUtDfB8QPRYNvKLjeNGjoAsyjphy
al637XwyGvNxDI1jEeuurff3g2gaDeCvLdJ0ep3p0ihD79WRmZvJE8F6qI1ic83xhGlCimGwtaNt
0JA6GWp54caGeQPliDuYooMPcuuWaK1dq5kADCP5kZ0A3xwlvBTll9hy2k0RBwTyVUid5XpjZJrH
cgOzYSQSg0+fhdaBLJZNnQQ7pTUenbLHWly4JfMFNJIbxLmop/xskanJM5PjpTFEm46QkEXV+c9y
m+y418toHvMFLZWd3k1XTSnza+rE/crSpjbMJx8pbI/PUm/7G59oF4wX86oBYkLeVXgp6+M3X4bo
NKGHlXUGMioJno6Rriu/us3yFrJBXmz6oK82tpNNB8SbAF5U4jmiJ9Mv9nKNPUtVi5ZEQFlZFLo+
XOIhCRc2OSteYtcPuRwSsCXbJxmYBsfcqhKcPoB24ZitoMi8RCkpn3Q4pYehNHleZoE2hpew0PQo
/TK2kbVUtSwkSXBSLwZClb+9qc/+LHvedk/Oqm4B72a2r5pUIVAplHNDvJIYSpaR+HaMY3IePiXO
Z91Y//cuISqtNye8iafYTDouIaPyM/FRlqcx/uCEclbZ//kxTJnDD4BWQ3iF3l5DVTuyO50oOMkD
u7xFVwsu/q0kLd//KD/PMV4Z24Idq9KxMFUg5GdnlKCIJ81K+uDUoY6vcP81ZENI1V2nXw49MRUN
9jPjOyv6f/ossf5aiLj25uezw//PRwmdc/O7Rwly6BfP9efn+vnXc4j44TcHCUR3uhhTkT3GkOnN
QUKGOaHKMPBxVOmv8ugfqhfjD6G1RtH8Z0gw3+WPg4T2h6BEQOdhaibkzv9q+vXLQQJOl6ziVbeY
s9HxPXs0tVCRhpba4BhmT3NzHMfHN7flN2+wftZv4KiCMgc5oAG7UHUMwzo7qnR+o5MvMnbHbjY8
XMTf6LUdUz++Nur2W1srS1xaxJDooGkUKd/Cwt3UVex1FqEApmQyciCXK7dqnGXybdwRr9iUXyTi
nhaqc8BtOQKoZQueiSZUesVg4t23lXYKMg4LjJ17woxUQkaZB9M1Kqa5WQyysR3FYjUAFdRe1y/4
GeDoxaJWqam/SMRCpzM8ojXM4heLZdBJ9JdOLIxUigEG0rDaK2LZDBT7ZJWW5KWsqI5YWiGS47wV
y208DspCE0uwIhZjUt32Pasz1nsqNxWlDcs2up1qQ3ziBtbuvKxZ233WeI213g4ZIs2s/pLYBhT2
A/xpp1ZsEA1pLCs0isugbG8sunsSe4lWOU8Je0tedrtWbDYGu86Y2DtSfmntkjoFJWpXWdazr/RE
gFqQfhxp2SXRcyu2skbQn9jb0iA+Sex1WNKWoa8+NuyBDnshkNKDLjbHWu0vUnLsTXbNuqw2pthG
C935FIuNdU7Sy1pstQ17bsvei81aYIDinS6SF8T2rIqNWpuxLImtOxSbeMduPolt3RAbvM9OL4st
v2Dv76gBBmoBvgt0CjnHOczFu5F6waFu0AtST6kjTOqJhrqCc9Z1KAqNTmj29f4ipAIpoJYFY3xP
+hAgMWqUtMeXpKY3ENyZYMXpvUo1g6z6ntHXqqDKsWcDl1j9ZIryp26dtaQ1jwUfHkcKabhQ4BIq
psmC1EYFpSXjoRzo93ZVAKhkIh21fS24LE5IVGC8BSuYm4+B76PXatp4JXUdj031jczMjd3Gnk41
19Xyo0R111iEuiXUez11n2ykn2dRB4qCMKQyTOI6WTO4hD4nWbch1SM+c8rIiJxtOQPQpBB5L4li
054t44IyP99FkUmidUkEHmVSTI3aiWKVLBXGjKKAnWNCYKlopY7SVhVFrlFB7OTwez2KArgTpTAs
3gTtmdZwhKZQVgkb9AZq56CliI6oppn043IUBXYtSu3wteruXyvw7LUazyYJXAGupeg4inK9Qo+0
xOCOti0pA7f+XtYX4VIPrRp1kSR77azTNhQHgcIWU+qsk/foYRd2OKlMLup9i5281Ev6DHBtFoom
wJVq1Ww4R8ZeEHUHUwkwFyVljsfBgOk9O948qsqi09PSK9qqgCoXpScLek6Ck6u5mns+se+XL8Y8
fap97dlKqg3rG8pXJXMdhY2bQNiDD41AMAsM6nkDPWpacAA2mE5zwvTT+y7Jr4e+HlxUjScdcRQr
i1vH+hKxQ7csynxvVeQxY+rlvx+u8k4LwLYiF+LMH1TEP2uVF/exW1ItANRbh0Z4Qa7bPXkzWNfF
8MFP1/mYAH7F6tpErYvn1aS9j4fF1yPrMzYMosxnqGfIjIfsNlGyYdXjQNSsInKJGiaa2J45P0RR
fTHbyVFT6b84zZVS4aRNyQMaM7S6eFyXLHlbFY8NGTXMMdKpv6Phc5sRMd2RpZ0um7oLvWloM4c1
p9sNslk85XqLUjGSvgEoB5XegWflcugWS1M/IcKpQeckVs/RJSRnFkTFmqU/vPcrrqB26W0OpR1q
oezsOuCjyOaCY+4YsNYgNcFYIw9JL6xboyoodIjtmanEsXxOuu+vEJzfmv50a+fG/DD7eeQiVGtW
RocfxCIFruVQty7lPl8XU1W4iLpBDfVG91BH8FBHe4pmN42GkF0JPYYOQ2KRDDBK7axeTlnxKASU
RKMJA6fXNQXRMtYuqaY7OYy9Pkog75XhXZeqt3ZXOftxGnsStvHdFn46uWUHK72U5UeN2ScKQb16
6MyS8LECfmMS8qBbUQeG19ceVDx4N3iJxpXdSZwAEZJ772/PvxTYiG5wdTGzJShFg291VplmGUPg
IM6PLQHKxjhvDXO4Gupm9f5lzoeUOp4SriOiLOAZ89qfFwGtNWcJ8v5jlqYXjanesSpd2ln2xHIJ
kGlyRF5YuunHcpXayaZRQyi/yFDUfM9KdWDahGo+uQr97tpEUKKFnds5TNYC/2vR4VKZeAX02T6a
ckC59ldd95sC5rd3CLaXpeikLCNg+vkOGVlXRNiF8uOAWCKYbgW+Kiw+mHs5Z/MfTgjW95MOTDLE
ztbZ98AxvpyypOuPZQC8VDL1Lf0TnR5gxb7R98hCpP5BKtPiKnd4Bh15O9gDY8MJvr/wvM9xtgql
ubtiEuzcoBR1u6In/pCuIs55tnI1pkVVBMdIinajjxV5UHlvzIwDyYSY9JpQzeekTSHd4wKeB7oM
jWJ6YRolXtJqL1KtrkA4d+hVyN6bcH24RQUXMiSYla2I0iY0t9WsfgUh+TxaEDANmXAfK70g0hLh
vjVJG1kZ4gtYv9liHruQugkWSujE1lKJgk9+p2S31UDfzFGCg5ERWNiYJW4rZfBIAnMrkdk1xVbi
lbJ6MmQrX44zQ0pFSw++/NyROm9YW9bFR1vCA2sNymbCjpdqdQiIEzJkCblfo01EPDSbGK/ZkshF
xodStqnbzEC8Pe6Y6z4nkRq+TKmxlk1wIlYaXqDkhIXUVCsi8uB7qON1Zprp0QF1qJjzuK+s5oOp
IzZInqo38oTX50FYKXkc6L47wsbz9sQI3brI+bv2aCnqs+Y08FHKPj2aCKYWrKdPQcOgK29CVzHH
pR2lZMJo6QV3BQQmBuMNzOYLchIWMGUvjMJ+0PQ8xOVmVKuuk/UtU6ZuEUQ0Q+EVCBGanm3wa5TL
QYlEIKNEPcJCRHxqDhK2ugmyaHSJM6T5h/1vAR0NQ3m1MrOZEZL57IiJVa8Ulltn6p2pTtTO9Pa1
ViGdm4QHROJk2A/mA+ja7eCrX0yLAV05sAw46cbMx1vfwd7W125VaGR5TDwhsCwn9cbo+4skDm+q
yLjOLGdtTu2DnST6grpR9syK8MKw6r2mg8RjC9Ipod74z1V2DlN6lngm3NLRHhVNelBCokeqlkF3
aGGOniXCKsbCU/R6LSMZdvIezS4AobBf6gnEFNse9lYNIxYpNNt86TLgutWG8ujY47YBPacN8ksF
Fy63TMFSgM+ULxOiA2D6H6zcXA0FaawWIbZRbrmqE10lJU1z8ny8AgSCmZJFUArZnRlwLuFl7CXn
aqjab2QY+EBLgdR08aptu8Q1ifhQcVAhsTyYjbaOUCRDPwoyTw9meodUqEmHk4dY5kQZ7ouiXZDx
e0lMJd17ouASaU8/fxkOSG6V9JFG5aqC9u6QtL5UFHbN1B8IgSQ/ss7KZYfDkMBGaR0P9n6OsTc5
ERAPhT5+Q7AEAB1lFSP4Ngb7Enb7JshbTJrVIbcNqt42lciVFLKD1NrpwbAvXyEdAlwL1xXcF6lc
YQmLtOGUkJpurGVegTwf2MOlaXhWQlKHfczGlTmtCgBOVn9fythOM/nCNOraG339EIcDyZa+7+87
tbfcxgB2YIGeXQ+EwpfUDRuM/M2S3OlN3VOFWAXkdAtYce/Xygdb2wdv6qui4U3/SA2dCTpu0pGX
QmZhc5Hhlxp70WU9JfUFePoPBtGiifPOyiDglm9XBjXELZdnrAxF8ZVMjX5EEX/IgwdgVx9sfL+2
k5CA0VAioA9xrG6InfHNJxsaci0Ieh3J65igckSkLEa+emuQlLINC5QgydjvyxJEfKHIyoVd4QI1
4wJ/XAzpd+DfdZmVfMNnczXmGpMtrfskRcWpkK2blPKNU4/bNurNSBN3mbfBKmujpzzW76UwLa+D
jtGEEYbtOjM6MTtYUFh4k0KSCyXeOm81657O6k1JSCqdlF2ntdtIU7H3TVujdE5DEuxrtm2L0NBE
zXmZJKDOtjuWyn1W1l6U+tuhVIBzwPlvjex5lifDTYfgsYKdQuqjj22w0YIP7urP/RbRo/v5popW
4ZubmpjMumrfHo/2+BTOnyf7g+y2j/79s41DlvDlmEEyHSP7hiSdRaXdffBY/Ob5e/NUvE6N33wA
5ByJnKjBdDTUy0hXFtwmOZzc9y/ya8NU3CUbAyujXYgDZ4/eaDU0kwm/Pjqqq7Yv7ZBRk9xFo/XB
t/EaZff32ySaU4aGu0xhq3UoTZWzC01xBKl3LtUjZcwLm9ryNl35S8mDOuzeL/LF/ZYczsPn68gN
P43eM93vz7zRzUbbvv+BVdFn+/sX+f5cvN3wzwpAp4+c0glYRtpVv5RdSNk33Tq7CleOJ9I1Vsqa
+7zCG7PAEuU5WEQ8/Zi/vP9bGL/7Ld58ucZZBzn1m9RWicI5Poxb1bMW7cq5tBanBljgcn1vuAdz
ma2dY7gaN/mNsbnFsrseN6x7i3ldOItmSets6SylQ7fJ180pXKBdCZafkJsfZXdaG1tnW+yHTX2X
rW7e/9XPclJ+fbHObqCkNlFaShHP5YL566r5Wq7KW2VZufHSX4bLyMtX2a5YX74cvG5ruBzY4x2o
uF18hMXs+h4hJV9899P7v9WrovD8a31zQ89DLiIQarVl8luFW2cRuvMmW/u3OeHs8OMWDGwXtcuk
cm0fq436RCPNe//64vH99fJ/v0dnqw1LjTQ1JRIOeS48axj2s5Qc+04uPtiUxKry3nXOVh2sX1rf
z+l0pKZe9MOLPG4G8zNYqwpuhVSu3v9Uv1/j/vpU54dJidmXZlRxd4QizMnvugyu/nsXODvzaaMN
UCrjAJUYezWmD+hYy/ev8MEX84ozebOKSllp59bEi1aUR8zOq1J9mDv7g2/lo/t0trg1StrEvRW3
x1F8K3NKQsO/T8H8aaG2zh6wDl59Bz1wOg796EbmMUtGd84+GJ998HRZZ6uS6QfSRHOO3WA0Xd3J
vSRtobh0rjU1bjyox54Am/+H7wfDGb4jmDKOfnZJDEuaX0Ztd9Szb3W8SjTSt831+9f47dfz5hpn
L01KBJFUhfp4NGKd/v1Vln3QVfjoAmdL4pxkoxYXVX+UWbSZ/ida+sFtet0f33vxxYby5jkOI4Y+
fspzzNlgAa5h12+SC44IqHPd0GMSuci+e+z/UfkmJH3vrjXiU7+5pEL/T2nVkD3qgcZwzqp6EXDt
xfCMVmfbLy5Jv+IvFoaXueBfrqTFdeuJXf3ysbrUdpzawfB7U7vY5G64/ujX++1G/rZ0OX9yonqQ
FZ+XTjmJjVxaQDTXt7niLpK1vrzPFzsSpfbfEG4Rnnk37QGFfrB6qWJ5eu9LOfvee6kxw8qZqCWW
/XJeTvNCNRfOPl1eO0fzoK275aO68hc5HdsVlN+17UofrNAf/QoW89C3X5I0dpKeD2V7lPbFYlzS
2Yy/GCtSp/bd13FTetnBWktr6VvwqLnjOjkFy/jr+2/XmZT8R0Hw9y5x9pwkuNb1JufRrFfjiuTc
RSSqum3i3vbbcbsFi7uYj4Tu3cuoyLNVubYuocQtOy/cDovwKXU/+H3EweyXb+Xv1904uyW25DAb
yllSKk9fm2szXY4r9IWHaK8sXoItGRSuvS03NPUOo2vdeXgH+IradbK6iZaiSPizOPjP6F6cVP9q
8f4Sw/tYpL+R/oqf+TGxF9R3tL3A4BHZOnR930zs8atCWoWphpf1NdzvDaeCNhfJpch/NUWEwP89
sbf/0BTY7chp4Z2pAp52JvV9T/qLD/GnJ4lDC8x3E1wP8wGLWBxHvP9vVsC2huuVqjFjr9aXFqXd
Li2/vm1VUDuxCsFwJu2GTEwlPaltlt00nc/wXFawAM0+rhdw0gE+1XZR6dpRaAzI8MtGd7Lirxqy
NbdVZXNPV+2z0w3lbTEVjZdU6XjpBEHpIsexXKfzi1u96S9qGeR2m4NEj8LilAUVy/CQB9cKefLr
jq66F/TEqTSKcpcxUt+kqdYRJkTuECBNcDC3AfE2q1FHWslMJTql0Zi5uukw8TaHjQNdEzJgdFfp
IA5CdcpX7ex0riSYNAq34MT2469GuXU2VUGWaDCw0DGEIoGrJIgBfiDJeflMNyzAzdvgJNXLOF3k
XXboKqhgjvQ40DsCn01eBQFNqATKndzp0E8D2VODfpfUEio/+xN386IoCNiRW5prhcnYK0/CJ6PX
n0cTIA099vsAzC1hDoSYhgGe1SC6aXXsqloqmbQrFYvgwWCTzEz7JTP7qgUke4y5uTNrTPntnHeY
amIafhjjV6GPDYPh1SNfNEpls7wpJP+og1Gz52ijiUwzvdS++FNzKTV5f0hsMKN1S9ulonmmzaB3
Zn8+GgVfaVuOS8ANl0mmfQZyAS4ieZF8pi5FSDJQOp7MAd61VUIWUgKQXtKgbplQ0AshsHRJoNqJ
SSqRxZm+YcR+KMbM9grKo4WhhI9lMF/pur6PK/p70jhLiz6HzcDzMZKRWiX2SZvkWPuMANiYtlZL
Uhdk8L2EVDlza6Um38nAURNaxlepSVYwrZmGStPKnEn/oClsXMh9usOtVS8sgOawOJUDuGPg8D0i
YV8m9jcQAcATScB2RVOyEeHANZhiSAA1XR+SgysVp+okwoSjbOo8Mk5WsggahvHCTRbhwxySqF1E
IPEgoomZmmzA2l6nIrS4j/TtKGKMhdD8NhfRxtAbNooIO65F7DEFcrZU/cGdRSSyRjbyNBG7JMKS
E8O4rUlPVkWMskWesmU5R10ELKP3NKHpd/LCIn1ZsolhtlrUzuBiW7cUIc1jrd/0IrbZb40DeATc
aSLSWSbbuYbpt1NIe65E7HNVRHxLLV0C7aFR/JM0BCvQcCNpdNGaATnh0U5Wr5sJS3EwhUu7Sj+H
BE3bRcmrzmtSCku0yiyuxCM9WpilE8myl6kwUIfCSu0LU3UcVcEu123Ex7Z/7CuJdC3H9FQCtYhA
AumhwVkA0TxeTUozLKaqRGoyzSgihKFbrlrds5tCX0+Bj91bGL/LKt8Hwgo+CVN4I+zhVaxIa11Y
xouqvDIlp17NuMklOXgopUy7VGPmEKx+yVaKdMcNcaFL2kA+AbZ0E396ZcXBtwbHuhPyGl9ZuNhp
RuJnB3qHt/112/jP/qmzofzz/kmuCtI3F9rXb3Rv/OTbXZT4NgMTMQK3V7TDG+oD/AZ8JShlKdAs
fuqH7s3Clgy9iDapQbruK0z0h+7N/APzmsGGp0CUo6P8rxzGTKDOd1E2USh5RPWyV4tf5edd1PFB
VwbQE045ORPEKJk1uqZUXaZjfh/Vmu3hdVGQUNaIQhKLBdVot5WhfOsLOVsUWTbsBhB3BE0yOW/l
bhMUgcdmghaoLoB/5wxvRD5ZbMWfB78GAQ5cjtURlE3a9jl+eMOmNTI5lyjT7oyaBbwaNEg1GEdo
DNwRCVGARbn3Y+02wxV1sgQRuxBs7E5QsmWsFLsMcLbPGkduiXNlJ0w5oPh/BVnerQJVGm7/i73z
aG4kSc/wX5nQvRjlzUGKEDy9b5J9qQBJsLz39ev1JM1MdxM90ix4gCIWe5jYJpkoJNJ85jVp4axM
FLPDvB8Wcp/OEZ28QkQF1+0chUupOGsxKoeRsjTkKpy2Bk7kCJH6FQ3icshOK8MaJ16tLSPZ8aeu
Vz0N2G1M8Mls59Y4lFMtcJdeUFzrzrBAAxT7Wb2cVGUZHLax9V1RfGva9R0JujD4G4lye1An+K+t
/CxQZj1dq1lcUjI0xivXU4aVISlMTRO0x3GAindieGe4ah85diTUvOP5WEvPYRjjlFAAOfOyYNmN
XTAtXOBCUktfUPGlALq4tmhi+0LzUs4lxGBixCtoTWlX2INcZdWzamcvFsM1A1MWcFRNfaVa+6iU
TysXNSTdqhHJ1lRaViEAPhPd9piezhDrwdQcqpWdOVfQnrKLIlFOiz7s5zINajBQCJASPapL3KRu
dDrf06h1ZrZk3OYc3kdFi0yWRdvbLNwzuYIRjsX8wg3i4yqrLzo3m9UxDnRdush6HIEVI7hDTUkH
5YP2jlvBynbiYjEG6OwVwz2GIgs9bb/raJIcJlp7haTROFHGbsM791gtxpvWKpTzNEu0SaEMoBFt
DY6If+o0knvSauWjUrrEb6WiYqeRmt99KbHmhdU4xnxIq2Iuj0BpDIqUYZufea1kHeVeVl32VaYK
W0UuHSYI5jIUsmc7t7uj1tAmtmstSkRNas1dDIbWzTS3fHB0ZLCBxa30KOctaNRijbIqOwo4jcEU
2567lBJ/vNXyTJnoKkJTWm5d24V5XCvDJvaLaAYa/Cp2iR7MsZ2PSXum+tjsOGjc0lUZRTf8ORxz
Bw8a6xnKKT7LNoLuRutUyJNXlwC9mOLy1I3Q6oArkR9lVjlF1V6aFBG0LGy7WOE2iv/9wF/0LfZl
nTfQ6nRf4ty9ALDUIBBVy3ioNPjJN7Bz3TE+LtBhmY+gBVZeA8YOiJ3lpkddqFYz2mUPIfaS6HnU
9YmvS8BNIcBvZNmNbjJZz4Eh2nAzlNgHSPrv2+lVAsMgsf797XRTBthsDJ+vJvFnf15NZHG4eYHo
kZF/+NnzWDt4ZRu8ihByJbzfS7pyAJ3SsUABYcwHF4Fqwse95Bzw74hJYDcEWAPljH+S3Vnyz3UC
bjiUCUgTkdPiPxAffqlbSLhymkVRJRcp3ET9tFIbiIBDE8iAVDDfVR3IUAgITTB7eUKx+PuYjf6y
l9JrHTXPiWY9DkjOz/PGW5VusijyIAWKiq5Lo1tncq0UQs0rBqHW4/maIWRnEBQuVECaE/T+zyTJ
jYTRUA3fKDuvhvpZElo0htM96yjqzX1EXhoHzZnMDo57XSBjnPBUQg+xlDNjlvnaiK8N5CesXGPO
iBJPIAhxZVM+tghRgwIblthNP0q9svC7Gjxe760sqz5LxwjMK/i3iVF0D50t3cb1EE/DSLnWjPre
szlVHVuyETPTzHMPRfM5+TsadUZUzmlQry28cpcVgJGJjc4Sbp3nmV6AORxVkK1WMcGu/rJX5aNE
NjZ6nSy1sltXenDMYROBPJWmva0eg1vlt51VIpf3DdI8Wd/guxN5ZI/mvRM+al02k3XtqXKcp1Kt
zssxuDOy/ilCRAoqjDzOiDguiP1x/jW6VeIHeOLWkPpHqfEWQxRcY1J6BuvvbNQKdxrKcDMHFR9U
o7CTwxAsBmlVjWKirF9IRsfpIjyQDYl71OuV49A3vWUoNSb4DYwCikYmqO5vzQpB8a5AlsGqj+yM
zEh2kvMcmBYQywL5hDxVl0MttBfDbFYGoIVznN+XkeWXs1BO2rnZuv3caF4BrfzUIoOBt/nNta1F
HDQXptycy1mKm5vkFMtST6dQge0JGquHKipNk77uvInejTBo5PIwkQzA2qrkLqH1uNMOAxLZwu6I
r4LfLB9DqbzC6emi8+RDL7TIFNUQXhdSFLW+chSw6tFo3tZhAZzZ+8bVuAGWJ02jESlNozGFo5GD
5F4z3qchNhWemh+5Vn4HjLiaxVV3KzmYe/GnhAuEOHOtja4HCVCSppo5vL3sJakkPCiz/FQfnPNI
BxJeDz1ow6yDUtt2897us3MLwB97pbSJBALcSiJn1dUglSOt7Ne1m4czbnCXaK+SQC+H4H1BiwW3
hBtwfJzAmrPXoBS0iD3WVr1MKzSncNfOV72iulMN248BGIyewhFMQpxrR0m6JKYAR5sW0AbV5CxI
1RTZDpoeAd4L094biZ+yddQjNs5au9a1I2l4iWQ4fZJXXmVWNdeGPpz5vjW3cWzBTfAFNnqIm7b+
Uo7yg1M5J1CQzvJhuFZRBZoYleTPzYEu7ZAUV35TrWMScwREDu1shLTmgFhW4CKz9sKJXem4DQ8v
alV+96TmuMvqS1qup3Ubkrmn1J0iyHMOjSBFxpIa9oA6CZtI6C367bSs6xdyuARbt04E2dY6KMrv
qADJkyoDHqZmPR6FnW0e1Zj5TipDsqdxqN9z6hbIRVIkaGPzqcaSHtQd+C4O5ONKKvulVzWwHMf2
qMagZ6qW3pXp9+sQ9bBJrkf4WhQVJRmPKLDS6bAm5gwHPJRM/f66NrD1RsFsHveEEljQIQeaGiWb
LmNL2OZpXAbhPOvdsyzWBITEpTIredc4qJ9nuXPtuPpK6wc84lMhSjzEV25OoIQkz8Kr7fgeE64A
XFN7IqFtK/BjbGwjvLNMDQGutosWHKt4GKr+Y5+io9/owaLt0iMO9KtBz9pVISf9jAvgEicDFT00
A+tB2176coAeTaXpBF5ozdvpEZxlfUqRDpvG9jIwdNTN4IS4ABbBPpVIh3oxf9u214YZ2itqTY9V
FlJwykt3oqaqPzXDAjb1KL04OrYISCsHS7T9L9MhezQ19nYRWzY2OLY0jXsP6Jg7phDmcHIus+Je
sRN3io1BPEmGnloX+jRAvWWsTzmzjTyVoT7I9SIWRFYnuEM0TJ8iLLsYkNubKHzlQBqTctppIDPr
XvYWOEcwp21gHmoaZUBPJ/TGKo9Ng1ZNo7e3/hBddtyJ0zpEAi4wqnACrNYDvT+w3GwrmjUh/2YL
x4ZcGnHqQzkfAZwMWJZFvUDuoKhH5i2i3Etc956NzLjA9mnTKwxX6SEUXsTaOowFJmaTnkDqK/C8
wrxVGERYVgqWVTms47wkplUbuJQ4SBRxGB9WY3GrqWx8XKHvJPwC0d5+7op44bjhLZe9fByY2Ktx
/x9W8AGtoLjBa2WlSZRMsGvphaJqA762W7mE0kJfAVVgvCyIGtuZallPQZ9JswRZBKCSiPAPmX2l
uEkxNwTYL4XnM89z6B9t3LiHcjmsTfowfJ+tuogi+6ZP6ZjbrnQUeN66BHrrQX+f9GGOJ2PG31v5
RRZBFcTIwJtD/njKcSRCPDZ40OUAbGRhXsiN+S3TTcwY4n41etpLKHcWZyxuNKoK2NbuQZqaFizw
2qzwYcoGll8oiovBABxpVB7Mqj1z9CiYjzlfbClxavuDRgfIIuo3pXAtp+opDnr+tA7ccFq0+XEg
jAuw6lsOI7aKjUaptpGjVeihAw72gPuuRl+8UN10mgnLA0h1z74HwrOwvXLRUpyfZknbzjIZ475o
FKeqeZcgB0Vl2DWmSSHd+GV3WzpQq9LAmWZdfNJUMDu8htKnV2Wkr7p/XZuYS6Iueth4TTVNZOdW
T5sLL8aGS6tqNFZzCdNHk/2ktfWi96R4pkbpoUTkxIYM5SlGzI+5l1z0YOM8ZosrJFwVJpg2+M2b
joRQys0XU5ZuJJKXmZWIDNKJXiyR+1GceGqH8tjhJp8MlvFUtdaysDE6TD3lyE21FN+eVp/2ZnTn
JQnGhH2pTu0GjKWUQAp/lG3vhMAA73id6p3ShEe5USqCkBCeqQFuPMhTTGw7evAkA52nLrxRShvR
xUa6shLHpEaYHepOd9cTc+HxOpJS51k6L2qYKwPkCsTiCz6OTp3D7lC6yDL92Cbrsm0qm5FVxFP2
3QsKnAkStmSoXqQt5La5z1u2rl8ql7GXCvFa7VQzg1rYNpUTgPHXZsB3BKdAI7zsOafL9LTXSzwO
Tf1IseunMCGNRLf5ruipqUMQuh1jUO5DfKPqEPc6+E+ZJeNQTUXB7lJt4tQYtGZxc5JX5SKVAQCi
7oyQLpw5Vm24cYiN/dYkSe3TzZiUuMBSe/ZQn1bV9B57gxncudu8pW5QEeVZEUefX7Ayfaez0KII
eMjGWsp9+WL6hHRW1j9oCTFfi1JDEIf34F0Pga/OcGpcu3b0GNbNua4XuCMAmfYAv+Jbyk2pFYh3
WVe9r8x7A/qBW2TXfUVPQ3cOHYS3Czm8ANCMBTXKuYMGE96N5xiHnpR9dtgE+TQ25BZXx1AZpoVn
qdFlnI7m/YDDK4gjCS+/y9ioYbYPtkkenkv/Jgcrbzkozdu/yUE3/jpZb0lB+as/U1ASSjqJBrq3
HyKLf1ZHtQPZJKIVVUn8pYXy0EcWKh+gnU/JFGgksvdQzn7MQklPIX3jtyQkcf+ZE72hCJjCX91q
kYWaJgp5vBd3LSVCSrQ/9hjTGFhMzGOct44fVbNQw3rRkPHdTaWjJvbmSq2PU0Nqh4nbNod9N3Bp
JNAAldY5qo3InObAdRdeCAlLyoplEyb03ZSAxNNM5mGTP3lqT+dtrJveXWIE2UgzTWq+VTDErgbc
l5dmabqUTAbzMOwtCmZweHMYAqeGUMI3iJlgXymPtVu9yG5Tr/IuxcA5xAcSxkE0D/rmalD6Swvf
1MsCg4+pF3UI2cW02UrbZG85ovDZODn0l9yZAGvl5orwfmyklRJa7jykMjSxm+BZwbkZS96WLLxG
wJomGBmZl4+48GlAviM3Vc5dNaR306T8G052KwtW4CTn7ccgxiSWGgDvQgtrpLAwobSMnKrWncaW
ex5m/lGfqqu6pC6MkOq6ZtMfmx6dxqxuDUDu4VVmVMIU4LiVZOItU4NQkNC9HH0o0OTVc0hmkFB9
053j6nqbj9W1U5bIh8v2oVGMF2UXDTN6yXdaYT1lZXZWwM+alIrP2WlcGLV747Wcbh2mvS3212Wu
H8qNc2pUHbXMSjLptOrWEurRfdjFR1hIP/Rhja6PI730ng3RqHYWQdx+N1Jnk6dWcajoPnIiKa5+
+ARkhCJYDmi+558EAUbaEXxEGmLcCkP4LZK5C7oELGScGv0cHWQu0QwSy1hVd2ZbPdhmP810NZtH
MDkngxeQucbFt0zDHzyRY5RAbNObVXJ/k/HVx7HaatOgxfElHbG+NGMpm3p6c5FXcIJkq0OHcUSf
Nq/vUdB9TrxUX7ia8pzjrkT52hc+4yr6Kra2QECkXZg96SsESo+3V/tlI8NpkvEeRGJRgQmc69qh
1DjO0kNBeqrZGRshs18GrHr1qHrU8g7/aALOuRJWRKRm9YISrsnTDsmUvZ9P8zSKF8FocZm6zsQi
/JgWAXuELC+etJk/zlzqNdg+aJNuaJdei6yPb/fnWuuuVCO98Pv03IzsQ0kKFo16mCQztzt1GBPK
/XVedDXFaovGr3lnUQ+IUsohnRYOMzcEcwNnAob1pkrre1hOMhVPOmRZmDvzynLKaeZQ3a1DStFR
foqCxZKc+bbymsOo8E7qJE9WigohAP0hNW5XetPBE+kcVnvfnyexipK/HD/4VXBmmBiIEeJYhzSJ
T1SHvLbOl7FEDmRXg0o8FmGhTryN/Y8CFMlTgsMmDE7UJjhRkvwhVkgM7a6iiqq4t7pl3DVlda4m
kb70Ebee9aFi0rjXoaWnNUZdHiGu1NRLsgYCbQhaUwlB785077BWTxEdhcCEDydHD3/nJTFoiDrG
kTY6dMdyU6SaPldHGux4Kq7Qdh4JSMAGO0zrtK39O9XVLusOpU0taAa8syod0k9prqJCfqGwd6wH
wUlABo5GDWX3OC1mchI8jKZ247p87xDjMXyFJDOJQuXKsB28vEjVPC29VCWEs5TRfjGdZlkLCaMi
tV1ICO1l6TcYSKo3rV/REJcwBs/to6D06ZFbyWVcQIazAunI7+LbwKjTmVz3R+Zgz1svHkipVGMa
FnFMmtpF81jvs9ko+6foOFG6p1M/k8r4xRvdmyL3INkpwqonQPWr98PnMgdWkZETynY3zlCRUKep
qcvHnSeNq9rOF1ZHpX0sxsuBXG0utZReIse77rVg3qiIWbn5MTIH7ULPyyM6fj63gE/yghrDUutM
CIVmZizcZLhPUOFFVHVdVH2AHDYMT7trz0Ba3KpGezJityr84OZ6qy9KJLFAZRwHebkKKxfJARYR
fmj4nBgoxw2W8jQq+anhcWb3+IeYVFUKpdzUYXBa98Ua4uDcIsGYVAMim5rykKFGht4XhSw8HGgQ
rKya09SrF+TdKxl5K07ufIIrnD0zImS++8G6yZvgdNSNTVRzUAaamc1peSEBNvSgOYJTPBfKCcHa
eemM3lLVu28x65aUFFcXqyv9aatCTKJSSWbXIjxD8VKmisndWc6zwG8gq1DilEWx0xZlT6zy1GVZ
lfcBFVEjxaIK+fVbxaofQlE0LTkXkI9naVAXhpVBeXWkzKpBNVmWtNF5vscyRIYutbPnStRmnZBW
RSrqtTiyGjOXEi53HmJs/KzLUW4QVd4aTp4m6r5O0jy7ohIsW8Wz5qfnYehgtyyqxTWeUIqoH+ui
kuyImrKHPDoaDtSZ2WXF1LUNsNoyu0xUo+EALTLK0wNiunOLc1LUrTsK2IOoZAdS+D2itG1gRKf5
CXh5F0GsEBAjuvPXipErZISFdTRK1mFe+1zFKZWBmNBoSmsSA1hJqc4deObekFAbizK8Vuh3wsgH
G0L+owVQ+Ov8xZZSmqi689Ch0TyXCqrrtMAwHkN9IkfzQ0bH6ZL055TTvHLcU731l36gG1RAcP45
ROHJKSgLxZlvTspApigCQgIDHKrHhf8G5P030sAgrPybOLqJ1+VmSxzNX33E0fjdIQzFNkBhhv6L
iIg/4mgUPKH0IN5pvBqm/+BLqpkHFBZF08aQZYJYQa/96OYYB8KGAoidiWuJYurKP+nmqLZAdf4Y
R+PU7mARxTMoOmBC+ReUAdKXcoEsf3M2xhmHETJqWCwCJo9qC2cmZBrL+M5Q3GA6ZO5pUNrdzFC6
alqm7QUCNocWMAVqoeg4ObBXKyk49hsqWdbYTTI1uAbH9NxSbJ1KWUt5RuoSyo3qaTZSEnZl05sm
lcA3yHecjd/VSr93Cg+XJN8h7ollCoDSuIh1SQI25qMrjXOe5UlEN3n4zbDT7/mQ3bY+LYqsriCa
m+a3sqgPUwAStSPduSnCkyhmaVpw2kb+SZ0F36vMpnzsWBelZjzFjmfPEz4YjXOs3ZAiA32dPSQD
MgbomYEjqGm9FHGHfll3O6iw8ry6W+j6WM/UEFwPCKYYU3T7ufAxJYaUcVLV8U1Hq2hq449tRPZV
FjjPReVcBEaPuHZBKV/2wnrudpiT5i1eFOmTW2cPboE8cJY+0RZ0phjFevMm7TitreTCy51VAOle
D73vsYpsSR7bEKHNSByD2VOnOKeRBKoyGUp0G/DXQWMiIeQtOBohEJyAaTsqdBcOJt4J3EjU5LqF
XHZHnuOshHAgNtAvgR5uEJK+0dDadLXxPvHGZEZAekb4OnXk0iD+tvDXkWl6qH1hXhL8nvpO/4LN
UjZD8W+Zya48bUo0lBNZvdM940qvB+z3guhG99SXRjXbwyEQf44Cx0LXmvtEQjgz81FRMkxqeMgg
kiiFJFvxQ6ZTslfzhha6IU8C4C0Q7DGgkHVpYo7RQrag9IPfWRa1j8JRlGMknfOtJbWKnolh0kwk
gipQpzSDqlq6FSU6qpBHQuQBPSc0XoxuvLJg0Xcp5lOUhKb66IqGEVkQwQkN/7GCZIwq7MTAIXVq
jyzioeI7TNTcm3fleI2kK++a2lSu2oUrN9ejrR0FXURZVCWrqgrXm3kxuI62iZ7qrL+3aQxPLDN/
lJWsnKSZOy27vqeVFqywnQA7I/krOZXCmWRF6VSWM9jk8lKREdpGFtZZYU42gGKzN0lYnNABaid5
FeZzWoKHpjcMM7UBtkNx5hYVoCOcqzEMADiLH1H9WJFITuVSMRGhyMcLOrjqsZ5GhGXo2nmHser4
2iyKujvVRr4FfdvKD74xDW4NRNfyurkZGNrCdBM5vbHoE2Qzvc5HClVlLDj+dmJdcEkG5sVQoAyo
Fb33gEbIvIpZQhPhj3iWI9cS1sRTdtdPZLyVfIsozC9kIZJq9Jeo1h65XhFo895qNfQZ7HickTxV
xWFjyUieFgFyflNwUnEyqwYNKcb4MsvMvsAEU1Pvo47k5zRGWopzJvbB7pjWk+xhWk9uOpQA/IGv
OLhiRrpRzOm+Wt6NXFtx9aC6rUelSxsxEqOhYbrfIyPw9VMZN3uJPLxv8jeo/f+D6/L9EbfqW/+J
8RY/vchoiN1kn0Sw/0+/9AEe3z7QPxLMFsWlny7g1wd7lez+23HiNY2L5hlJbo1b1kTtGgk5XBV4
gZaPM+yW334sodBzwA/x/wa9J17c0LzjDzP1u7n4+4959UlR/PM4f/sRNq/q5IfP//kfbzW99wf7
S6H8n08FOH/BC2AqPs+BRWqEl4mz13OgUQbccTkQj9Fq0xGhfP2kn5eDcoDjClqIzh4thx9jTGy4
IEz941ngG/9rT4BiFQVUEDxvk8Ca/2lPEJrSXkdYAYjK62tf9wTh6j+eCaLzH6YCrzbiXgexyrdP
Sqj901SoqjBxtWnf8JO9PBh0+Dc7TwLZCdQB0pGP/f/rJJBqckC+v9ceno5fcVEg1oY0rfK28WWx
Tn66KNQDQBtUooXryx6uBI6sf+Vg+Hk7WAdY+3EfmpitixcH7q+ToKKXapn82R7OgfjqvmA3wFwz
WAdiRnn9eiRwOuLICAHAelt0e7gbdl8IhE0gwZH24nT5dQUA/FQs7b04soefnhBv5wNRgRSi0Kp8
OxA/nQUoI9vitNjbA9HY/VZwDrj/DdbA7yYBHip9Xpse8b4eBm+n1C4xM/tA4Wum4bz9MBBkXGIp
RREeN/t5Iu68EkCXEzKTIYhISbw+3Qr6gQqsmFthX68F4+3b2WEl6PKBpcErtQzzN5OgHjisE8B2
e7sSdk+f7AMLRgLM6Lc5EBHHz7cDsyQqysDIPyLJvdwUnziE/zybNuFVIIoP0e9tLn4NE8gcSLVh
XDhvG3APL8q3lGaHTSE6FXQhuCTeE8Vf14OIlTACM2whzbKXK0HZOWAUJ4NQD9Y/x0r6AQJx9Hjg
l76+9nQO9K+IF/EGRA1cfV8In3aDAnGJJFPf292g7HxFaCqHn2obNObewsZfa42KQTHSYLdQhROv
fb0o3jfrLgeDc0BAABOamuLr61MEzW2pGIpJALmnm0LZPXiEEi7jnYISy/t1+cttqdgHbBcTht/b
Sbx/V4QAXu6YS+kHMIpVzdYpXIrXrycDk4ABC5VpVot47e2m2D2tNA4QZhO5xNv2Fx/1p+iJ21JU
IzlJ36Z9/9aD0LXceT0I0TpUiN5Phk+HJNVpAmmEaPf1YNh9DswDvmLqaB97YkvYhCynw226rwtB
qE7tuBAENIZvmpDgdd9/2g105ujbKUj0vb3X/u0GND52nARiR2osunDxfXv9uhuYBOT6HB28z55u
B33nlcAkUEuFaaD9rtKkshI4NWwRYe9nFvEVqRQlR6qq1nv/4dfLgZWAIoxu05Pb10nYPY3gTEDK
nSl4LzD8GiyQVAOiYzOIMGIvV4K++0qw2PIyBXbzd7GzQidKxExoOeznJAih6Z1vB5Y6m8F+Pxl/
3Q7ESmiwW7ZKjvH62tepeItnd8ulFJFAoO7xm4tSo/wKKxuXpH2dhN1zKesAiUrEUMz3Usqnk4Gb
FLI9WcQb0Odt2vcvZtB2jhk0i3qTEHKB/Pax9H9KIzgkgbdgTKDt603xHtHtsCnoSRA3Ctzye/mV
af15EggqdGAuZFP7uil2zyNInWlD/7knPjVmOCQROrHp4O3tStgdwmPiUmsK7Mp79PgphKb0aJjE
l3sLWhBiy7tdl4TQFBWxcP6ov/J9/7wd1APamAqdyrf7dF+Px/cIf4eTQWNTCE9fkuffpFRMBRmV
TGixpyeDEAvfbT0Ae3VQBKNR916PJzL4eT3IdCsF90QIS+5lIP1eA9tlJXD6IdcAFfw9pdpyMsB3
wkNqb5sSgvqz40rQaErQkLXN3yAYoCjZBshfBOf2dCUI1+8dJ0GIs9J+Ir/+TchEOCEjHM4BuaeT
ILyhdpwE+4BIQKyF94Lbtu0gWGVo+33ElXt5Mgj7+h2nQhcRsigj/L5vjQgPFyZ4z9fXnq4KQSjc
cSo0yrCyAVH3vQLJiD/dFJwPeJDJlKL3NYbUds8ubSqQoD51QH2vr0/XpUg3xP9o34jX3h6Vu4fT
NLHhlxqvpq6/LgSFIi2dm/dDdF/3xO53pkGEiMIgEdLbpvh1T4iqPPsF1N++7gmIwbseDOx7urI0
8H9XcVEOKEHgmr2ngHhRRP6CSaAMie/Bx5r/dDCQTKhMAsKDe7odjN3LDMA7Ychp8u9IMqLMgD27
bMr7WpB+X6I7JBMCBKtRU1M/qBGsrZ+OR6puaPWbBk2aPV0JwvNnx2DBPtA1xyS9/l2t5fX2MHU2
zZ5OwidNh38F+Ql2QdRRftO4ft0O4mh8b5LvXxH6kwXVP58Em6obuCbKKL/uAzYKciaYff+DE/H/
MEV/co+nfhA/v1KTkX965QK/kW3/11/4YOx+HuCdiSvYtq/8yp9+82bIN29jv3Fyxf//r/Uzphaz
oKrL4KlWX/nCP/z0gz/8+k7vf//+ET+/+U9v9vG5Pv5xFWzKdfnkD68/GN4f9GydwG3+75j/PK9/
ZIcKrrDI8z/+Tbz3f/7Hzw/7wyHw96OjdrP5GOgHIjLZ118f9V8dPFk/Z+XHQD8MzprZefBJU9fb
Hpw0Yeexp+t43fKVVB9j/fDsnPu7j4+uZ/XpK6V+xXn6BYOndYk5TlbV296CnbzzW8w28R9nWbl1
/imt7Dz+PP5jlpUsno+xfph/rredx1+USMptG5zIZufBl/EmTT/G+eHBv2K7rprkMYuf68/DC4T7
zo9+mOSbMljHH0P99fQCN7378Eh1fwzzw9BfsWOPN+WWORddwZ2f+jhIvS0HgfIVe/VkHW05wwQy
e+fHPllX1WbbnHzFBj3Jqj/+O/U28WbbzHzFFj1dP3MAf8zDD6vlK7bo6RqHli1jf8UWFWPn2bbT
XeBldv5aTzfpc/YUbDu9BDnxC8YvnzbPHwP9Ne+C9Lf74BnP/jHOD2N/xTY9zbbOyVfsUoauN+Vm
2PLkX7FTz9b5loUueqQ7T/jZpl1/jh0NJJ2/YPDzcs0R8DHQD1/nV2zRi3j9tNkSO4pa3M7TchE3
ybbgTrRkdx78KiB0rILnLTMjCvk7j3+9fipJCdJ6y10qiuRf8AbpH5MNQmXb3uArtirujbxBma7L
560HmeAffMmnmAUbb9uH+IpdKz7Egh3wFFRP297jK7aveI+jbF00224roZP0JbN00gTVH+ePQZVv
+xxfsZnF5zhd15tt43/FfmZ87EAn6/JxvS1mEK3Er5gpYTmKGuiWw1rUhb/qHX5vavoqFrZDsn/t
r7fmhALcv/vTU8PYOjVfspmDKsJNrfl4zr8uG1Hz3f3Zs3i9LXoQOIEvGBxzy21r5kv2b73GHTpe
N9XHk/4wNV+ydUWZZcs9LNjEO0/Nzd+ZVOy62v/ehXHn0f9OF3j3wSkQJdvqcqLYvPO0f2OEZtte
FV2knUd/yOIt57woRu8+dPO4ZSMJFZz/ZehtZdk/9R8/F2s/dB23/dnPtWjxG0/xZl3+1/8AAAD/
/w==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chart" Target="../charts/chart2.xml"/><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emf"/><Relationship Id="rId11" Type="http://schemas.microsoft.com/office/2014/relationships/chartEx" Target="../charts/chartEx2.xml"/><Relationship Id="rId5" Type="http://schemas.openxmlformats.org/officeDocument/2006/relationships/image" Target="../media/image4.png"/><Relationship Id="rId10" Type="http://schemas.microsoft.com/office/2014/relationships/chartEx" Target="../charts/chartEx1.xml"/><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484188</xdr:colOff>
      <xdr:row>43</xdr:row>
      <xdr:rowOff>52915</xdr:rowOff>
    </xdr:to>
    <xdr:sp macro="" textlink="">
      <xdr:nvSpPr>
        <xdr:cNvPr id="4" name="Rectangle 3">
          <a:extLst>
            <a:ext uri="{FF2B5EF4-FFF2-40B4-BE49-F238E27FC236}">
              <a16:creationId xmlns:a16="http://schemas.microsoft.com/office/drawing/2014/main" id="{AC8BCDB7-5557-A9DB-FF95-A05EEEA9151A}"/>
            </a:ext>
          </a:extLst>
        </xdr:cNvPr>
        <xdr:cNvSpPr/>
      </xdr:nvSpPr>
      <xdr:spPr>
        <a:xfrm>
          <a:off x="0" y="0"/>
          <a:ext cx="13988521" cy="7789332"/>
        </a:xfrm>
        <a:prstGeom prst="rect">
          <a:avLst/>
        </a:prstGeom>
        <a:ln>
          <a:solidFill>
            <a:schemeClr val="accent1">
              <a:shade val="15000"/>
            </a:schemeClr>
          </a:solidFill>
        </a:ln>
        <a:effectLst>
          <a:glow rad="228600">
            <a:schemeClr val="accent2">
              <a:satMod val="175000"/>
              <a:alpha val="0"/>
            </a:schemeClr>
          </a:glow>
          <a:outerShdw blurRad="38100" dist="38100" dir="2700000" algn="tl"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42332</xdr:colOff>
      <xdr:row>43</xdr:row>
      <xdr:rowOff>52915</xdr:rowOff>
    </xdr:to>
    <xdr:sp macro="" textlink="">
      <xdr:nvSpPr>
        <xdr:cNvPr id="3" name="Rectangle 2">
          <a:extLst>
            <a:ext uri="{FF2B5EF4-FFF2-40B4-BE49-F238E27FC236}">
              <a16:creationId xmlns:a16="http://schemas.microsoft.com/office/drawing/2014/main" id="{7B4B17A1-AE6C-A032-3198-7A9F55BD7EE5}"/>
            </a:ext>
          </a:extLst>
        </xdr:cNvPr>
        <xdr:cNvSpPr/>
      </xdr:nvSpPr>
      <xdr:spPr>
        <a:xfrm>
          <a:off x="0" y="0"/>
          <a:ext cx="1883832" cy="7789332"/>
        </a:xfrm>
        <a:prstGeom prst="rect">
          <a:avLst/>
        </a:prstGeom>
        <a:solidFill>
          <a:srgbClr val="213328"/>
        </a:solidFill>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87934</xdr:rowOff>
    </xdr:from>
    <xdr:to>
      <xdr:col>1</xdr:col>
      <xdr:colOff>323850</xdr:colOff>
      <xdr:row>7</xdr:row>
      <xdr:rowOff>94284</xdr:rowOff>
    </xdr:to>
    <xdr:sp macro="" textlink="'Pivot Table 1'!G5">
      <xdr:nvSpPr>
        <xdr:cNvPr id="5" name="TextBox 4">
          <a:extLst>
            <a:ext uri="{FF2B5EF4-FFF2-40B4-BE49-F238E27FC236}">
              <a16:creationId xmlns:a16="http://schemas.microsoft.com/office/drawing/2014/main" id="{D6310751-F095-8135-E2DD-521B648D9294}"/>
            </a:ext>
          </a:extLst>
        </xdr:cNvPr>
        <xdr:cNvSpPr txBox="1"/>
      </xdr:nvSpPr>
      <xdr:spPr>
        <a:xfrm>
          <a:off x="0" y="1000747"/>
          <a:ext cx="93503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rPr>
            <a:t>2400</a:t>
          </a:r>
        </a:p>
      </xdr:txBody>
    </xdr:sp>
    <xdr:clientData/>
  </xdr:twoCellAnchor>
  <xdr:twoCellAnchor>
    <xdr:from>
      <xdr:col>0</xdr:col>
      <xdr:colOff>0</xdr:colOff>
      <xdr:row>9</xdr:row>
      <xdr:rowOff>41895</xdr:rowOff>
    </xdr:from>
    <xdr:to>
      <xdr:col>1</xdr:col>
      <xdr:colOff>323850</xdr:colOff>
      <xdr:row>11</xdr:row>
      <xdr:rowOff>48245</xdr:rowOff>
    </xdr:to>
    <xdr:sp macro="" textlink="'Pivot Table 1'!H5">
      <xdr:nvSpPr>
        <xdr:cNvPr id="10" name="TextBox 9">
          <a:extLst>
            <a:ext uri="{FF2B5EF4-FFF2-40B4-BE49-F238E27FC236}">
              <a16:creationId xmlns:a16="http://schemas.microsoft.com/office/drawing/2014/main" id="{C4299329-9064-49F4-A48A-7E70691DFC12}"/>
            </a:ext>
          </a:extLst>
        </xdr:cNvPr>
        <xdr:cNvSpPr txBox="1"/>
      </xdr:nvSpPr>
      <xdr:spPr>
        <a:xfrm>
          <a:off x="0" y="1684958"/>
          <a:ext cx="93503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2F9ABB-E76C-4CDA-A959-CD20A7C3BB94}" type="TxLink">
            <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1415</a:t>
          </a:fld>
          <a:endPar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19</xdr:row>
      <xdr:rowOff>7938</xdr:rowOff>
    </xdr:from>
    <xdr:to>
      <xdr:col>1</xdr:col>
      <xdr:colOff>323850</xdr:colOff>
      <xdr:row>22</xdr:row>
      <xdr:rowOff>71438</xdr:rowOff>
    </xdr:to>
    <xdr:sp macro="" textlink="'Pivot Table 1'!K5">
      <xdr:nvSpPr>
        <xdr:cNvPr id="11" name="TextBox 10">
          <a:extLst>
            <a:ext uri="{FF2B5EF4-FFF2-40B4-BE49-F238E27FC236}">
              <a16:creationId xmlns:a16="http://schemas.microsoft.com/office/drawing/2014/main" id="{1D9EFC93-B795-4D6B-8DD5-B7DDB3C14C56}"/>
            </a:ext>
          </a:extLst>
        </xdr:cNvPr>
        <xdr:cNvSpPr txBox="1"/>
      </xdr:nvSpPr>
      <xdr:spPr>
        <a:xfrm>
          <a:off x="0" y="3476626"/>
          <a:ext cx="935038" cy="6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rPr>
            <a:t>2.3</a:t>
          </a:r>
        </a:p>
      </xdr:txBody>
    </xdr:sp>
    <xdr:clientData/>
  </xdr:twoCellAnchor>
  <xdr:twoCellAnchor>
    <xdr:from>
      <xdr:col>0</xdr:col>
      <xdr:colOff>0</xdr:colOff>
      <xdr:row>16</xdr:row>
      <xdr:rowOff>47587</xdr:rowOff>
    </xdr:from>
    <xdr:to>
      <xdr:col>1</xdr:col>
      <xdr:colOff>323850</xdr:colOff>
      <xdr:row>18</xdr:row>
      <xdr:rowOff>53937</xdr:rowOff>
    </xdr:to>
    <xdr:sp macro="" textlink="'Pivot Table 1'!J5">
      <xdr:nvSpPr>
        <xdr:cNvPr id="12" name="TextBox 11">
          <a:extLst>
            <a:ext uri="{FF2B5EF4-FFF2-40B4-BE49-F238E27FC236}">
              <a16:creationId xmlns:a16="http://schemas.microsoft.com/office/drawing/2014/main" id="{25571E34-8CF3-4668-809E-DAC3C7E1913E}"/>
            </a:ext>
          </a:extLst>
        </xdr:cNvPr>
        <xdr:cNvSpPr txBox="1"/>
      </xdr:nvSpPr>
      <xdr:spPr>
        <a:xfrm>
          <a:off x="0" y="2968587"/>
          <a:ext cx="93503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FC6B55-7DEA-4CAF-9115-E87C8CE81AB2}" type="TxLink">
            <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4    </a:t>
          </a:fld>
          <a:endPar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12</xdr:row>
      <xdr:rowOff>154608</xdr:rowOff>
    </xdr:from>
    <xdr:to>
      <xdr:col>1</xdr:col>
      <xdr:colOff>323850</xdr:colOff>
      <xdr:row>14</xdr:row>
      <xdr:rowOff>160958</xdr:rowOff>
    </xdr:to>
    <xdr:sp macro="" textlink="'Pivot Table 1'!I5">
      <xdr:nvSpPr>
        <xdr:cNvPr id="13" name="TextBox 12">
          <a:extLst>
            <a:ext uri="{FF2B5EF4-FFF2-40B4-BE49-F238E27FC236}">
              <a16:creationId xmlns:a16="http://schemas.microsoft.com/office/drawing/2014/main" id="{E648DA9D-7F50-4129-971D-BC475FFFCD37}"/>
            </a:ext>
          </a:extLst>
        </xdr:cNvPr>
        <xdr:cNvSpPr txBox="1"/>
      </xdr:nvSpPr>
      <xdr:spPr>
        <a:xfrm>
          <a:off x="0" y="2345358"/>
          <a:ext cx="93503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FD4BC3-F6E4-48BF-BC61-8582CA74067D}" type="TxLink">
            <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lgn="ctr"/>
            <a:t>73126.2</a:t>
          </a:fld>
          <a:endParaRPr lang="en-US" sz="1500" b="0" i="0" u="none" strike="noStrike">
            <a:ln>
              <a:noFill/>
            </a:ln>
            <a:gradFill>
              <a:gsLst>
                <a:gs pos="0">
                  <a:schemeClr val="accent5"/>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3</xdr:row>
      <xdr:rowOff>158750</xdr:rowOff>
    </xdr:from>
    <xdr:to>
      <xdr:col>1</xdr:col>
      <xdr:colOff>190499</xdr:colOff>
      <xdr:row>5</xdr:row>
      <xdr:rowOff>79375</xdr:rowOff>
    </xdr:to>
    <xdr:sp macro="" textlink="">
      <xdr:nvSpPr>
        <xdr:cNvPr id="14" name="TextBox 13">
          <a:extLst>
            <a:ext uri="{FF2B5EF4-FFF2-40B4-BE49-F238E27FC236}">
              <a16:creationId xmlns:a16="http://schemas.microsoft.com/office/drawing/2014/main" id="{7FE1A3B1-4FF6-8645-A558-3A651C4FD477}"/>
            </a:ext>
          </a:extLst>
        </xdr:cNvPr>
        <xdr:cNvSpPr txBox="1"/>
      </xdr:nvSpPr>
      <xdr:spPr>
        <a:xfrm>
          <a:off x="0" y="706438"/>
          <a:ext cx="8016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r>
            <a:rPr lang="en-US" sz="1100">
              <a:solidFill>
                <a:schemeClr val="bg2"/>
              </a:solidFill>
              <a:effectLst/>
              <a:latin typeface="+mn-lt"/>
              <a:ea typeface="+mn-ea"/>
              <a:cs typeface="+mn-cs"/>
            </a:rPr>
            <a:t>Orders</a:t>
          </a:r>
          <a:endParaRPr lang="en-US">
            <a:solidFill>
              <a:schemeClr val="bg2"/>
            </a:solidFill>
            <a:effectLst/>
          </a:endParaRPr>
        </a:p>
        <a:p>
          <a:endParaRPr lang="en-US" sz="1100"/>
        </a:p>
      </xdr:txBody>
    </xdr:sp>
    <xdr:clientData/>
  </xdr:twoCellAnchor>
  <xdr:twoCellAnchor>
    <xdr:from>
      <xdr:col>3</xdr:col>
      <xdr:colOff>207962</xdr:colOff>
      <xdr:row>1</xdr:row>
      <xdr:rowOff>55560</xdr:rowOff>
    </xdr:from>
    <xdr:to>
      <xdr:col>9</xdr:col>
      <xdr:colOff>261937</xdr:colOff>
      <xdr:row>15</xdr:row>
      <xdr:rowOff>103187</xdr:rowOff>
    </xdr:to>
    <xdr:graphicFrame macro="">
      <xdr:nvGraphicFramePr>
        <xdr:cNvPr id="21" name="Chart 20">
          <a:extLst>
            <a:ext uri="{FF2B5EF4-FFF2-40B4-BE49-F238E27FC236}">
              <a16:creationId xmlns:a16="http://schemas.microsoft.com/office/drawing/2014/main" id="{177B0DC7-23B4-4A94-BD4E-C998AFF17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126653</xdr:rowOff>
    </xdr:from>
    <xdr:to>
      <xdr:col>1</xdr:col>
      <xdr:colOff>248423</xdr:colOff>
      <xdr:row>9</xdr:row>
      <xdr:rowOff>96837</xdr:rowOff>
    </xdr:to>
    <xdr:pic>
      <xdr:nvPicPr>
        <xdr:cNvPr id="7" name="Picture 6">
          <a:extLst>
            <a:ext uri="{FF2B5EF4-FFF2-40B4-BE49-F238E27FC236}">
              <a16:creationId xmlns:a16="http://schemas.microsoft.com/office/drawing/2014/main" id="{EBCCC722-0999-E1B4-4112-4BF5EADBDC4C}"/>
            </a:ext>
          </a:extLst>
        </xdr:cNvPr>
        <xdr:cNvPicPr>
          <a:picLocks noChangeAspect="1"/>
        </xdr:cNvPicPr>
      </xdr:nvPicPr>
      <xdr:blipFill>
        <a:blip xmlns:r="http://schemas.openxmlformats.org/officeDocument/2006/relationships" r:embed="rId2"/>
        <a:stretch>
          <a:fillRect/>
        </a:stretch>
      </xdr:blipFill>
      <xdr:spPr>
        <a:xfrm>
          <a:off x="0" y="1404591"/>
          <a:ext cx="859611" cy="335309"/>
        </a:xfrm>
        <a:prstGeom prst="rect">
          <a:avLst/>
        </a:prstGeom>
      </xdr:spPr>
    </xdr:pic>
    <xdr:clientData/>
  </xdr:twoCellAnchor>
  <xdr:twoCellAnchor editAs="oneCell">
    <xdr:from>
      <xdr:col>0</xdr:col>
      <xdr:colOff>0</xdr:colOff>
      <xdr:row>11</xdr:row>
      <xdr:rowOff>17115</xdr:rowOff>
    </xdr:from>
    <xdr:to>
      <xdr:col>1</xdr:col>
      <xdr:colOff>211843</xdr:colOff>
      <xdr:row>12</xdr:row>
      <xdr:rowOff>169862</xdr:rowOff>
    </xdr:to>
    <xdr:pic>
      <xdr:nvPicPr>
        <xdr:cNvPr id="9" name="Picture 8">
          <a:extLst>
            <a:ext uri="{FF2B5EF4-FFF2-40B4-BE49-F238E27FC236}">
              <a16:creationId xmlns:a16="http://schemas.microsoft.com/office/drawing/2014/main" id="{9D1EFC1F-24F7-4644-C213-C1985EBF4AF3}"/>
            </a:ext>
          </a:extLst>
        </xdr:cNvPr>
        <xdr:cNvPicPr>
          <a:picLocks noChangeAspect="1"/>
        </xdr:cNvPicPr>
      </xdr:nvPicPr>
      <xdr:blipFill>
        <a:blip xmlns:r="http://schemas.openxmlformats.org/officeDocument/2006/relationships" r:embed="rId3"/>
        <a:stretch>
          <a:fillRect/>
        </a:stretch>
      </xdr:blipFill>
      <xdr:spPr>
        <a:xfrm>
          <a:off x="0" y="2025303"/>
          <a:ext cx="823031" cy="335309"/>
        </a:xfrm>
        <a:prstGeom prst="rect">
          <a:avLst/>
        </a:prstGeom>
      </xdr:spPr>
    </xdr:pic>
    <xdr:clientData/>
  </xdr:twoCellAnchor>
  <xdr:twoCellAnchor editAs="oneCell">
    <xdr:from>
      <xdr:col>0</xdr:col>
      <xdr:colOff>0</xdr:colOff>
      <xdr:row>15</xdr:row>
      <xdr:rowOff>26641</xdr:rowOff>
    </xdr:from>
    <xdr:to>
      <xdr:col>1</xdr:col>
      <xdr:colOff>376450</xdr:colOff>
      <xdr:row>16</xdr:row>
      <xdr:rowOff>179388</xdr:rowOff>
    </xdr:to>
    <xdr:pic>
      <xdr:nvPicPr>
        <xdr:cNvPr id="15" name="Picture 14">
          <a:extLst>
            <a:ext uri="{FF2B5EF4-FFF2-40B4-BE49-F238E27FC236}">
              <a16:creationId xmlns:a16="http://schemas.microsoft.com/office/drawing/2014/main" id="{53EE4812-CC6F-EA58-3D74-9BC430251159}"/>
            </a:ext>
          </a:extLst>
        </xdr:cNvPr>
        <xdr:cNvPicPr>
          <a:picLocks noChangeAspect="1"/>
        </xdr:cNvPicPr>
      </xdr:nvPicPr>
      <xdr:blipFill>
        <a:blip xmlns:r="http://schemas.openxmlformats.org/officeDocument/2006/relationships" r:embed="rId4"/>
        <a:stretch>
          <a:fillRect/>
        </a:stretch>
      </xdr:blipFill>
      <xdr:spPr>
        <a:xfrm>
          <a:off x="0" y="2765079"/>
          <a:ext cx="987638" cy="335309"/>
        </a:xfrm>
        <a:prstGeom prst="rect">
          <a:avLst/>
        </a:prstGeom>
      </xdr:spPr>
    </xdr:pic>
    <xdr:clientData/>
  </xdr:twoCellAnchor>
  <xdr:twoCellAnchor editAs="oneCell">
    <xdr:from>
      <xdr:col>0</xdr:col>
      <xdr:colOff>0</xdr:colOff>
      <xdr:row>18</xdr:row>
      <xdr:rowOff>21258</xdr:rowOff>
    </xdr:from>
    <xdr:to>
      <xdr:col>1</xdr:col>
      <xdr:colOff>608118</xdr:colOff>
      <xdr:row>19</xdr:row>
      <xdr:rowOff>174004</xdr:rowOff>
    </xdr:to>
    <xdr:pic>
      <xdr:nvPicPr>
        <xdr:cNvPr id="16" name="Picture 15">
          <a:extLst>
            <a:ext uri="{FF2B5EF4-FFF2-40B4-BE49-F238E27FC236}">
              <a16:creationId xmlns:a16="http://schemas.microsoft.com/office/drawing/2014/main" id="{5D706F24-851B-00D3-932E-C77527FD18F9}"/>
            </a:ext>
          </a:extLst>
        </xdr:cNvPr>
        <xdr:cNvPicPr>
          <a:picLocks noChangeAspect="1"/>
        </xdr:cNvPicPr>
      </xdr:nvPicPr>
      <xdr:blipFill>
        <a:blip xmlns:r="http://schemas.openxmlformats.org/officeDocument/2006/relationships" r:embed="rId5"/>
        <a:stretch>
          <a:fillRect/>
        </a:stretch>
      </xdr:blipFill>
      <xdr:spPr>
        <a:xfrm>
          <a:off x="0" y="3307383"/>
          <a:ext cx="1219306" cy="335309"/>
        </a:xfrm>
        <a:prstGeom prst="rect">
          <a:avLst/>
        </a:prstGeom>
      </xdr:spPr>
    </xdr:pic>
    <xdr:clientData/>
  </xdr:twoCellAnchor>
  <xdr:twoCellAnchor>
    <xdr:from>
      <xdr:col>9</xdr:col>
      <xdr:colOff>436563</xdr:colOff>
      <xdr:row>1</xdr:row>
      <xdr:rowOff>31749</xdr:rowOff>
    </xdr:from>
    <xdr:to>
      <xdr:col>15</xdr:col>
      <xdr:colOff>333375</xdr:colOff>
      <xdr:row>15</xdr:row>
      <xdr:rowOff>111125</xdr:rowOff>
    </xdr:to>
    <xdr:sp macro="" textlink="">
      <xdr:nvSpPr>
        <xdr:cNvPr id="27" name="TextBox 26">
          <a:extLst>
            <a:ext uri="{FF2B5EF4-FFF2-40B4-BE49-F238E27FC236}">
              <a16:creationId xmlns:a16="http://schemas.microsoft.com/office/drawing/2014/main" id="{4A7756A3-BE90-0597-2C94-B321FC8E1B95}"/>
            </a:ext>
          </a:extLst>
        </xdr:cNvPr>
        <xdr:cNvSpPr txBox="1"/>
      </xdr:nvSpPr>
      <xdr:spPr>
        <a:xfrm>
          <a:off x="5865813" y="222249"/>
          <a:ext cx="3516312" cy="2746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How they Like to buy</a:t>
          </a:r>
        </a:p>
      </xdr:txBody>
    </xdr:sp>
    <xdr:clientData/>
  </xdr:twoCellAnchor>
  <xdr:twoCellAnchor editAs="oneCell">
    <xdr:from>
      <xdr:col>9</xdr:col>
      <xdr:colOff>595312</xdr:colOff>
      <xdr:row>3</xdr:row>
      <xdr:rowOff>7937</xdr:rowOff>
    </xdr:from>
    <xdr:to>
      <xdr:col>15</xdr:col>
      <xdr:colOff>71438</xdr:colOff>
      <xdr:row>11</xdr:row>
      <xdr:rowOff>119062</xdr:rowOff>
    </xdr:to>
    <xdr:pic>
      <xdr:nvPicPr>
        <xdr:cNvPr id="28" name="Picture 27">
          <a:extLst>
            <a:ext uri="{FF2B5EF4-FFF2-40B4-BE49-F238E27FC236}">
              <a16:creationId xmlns:a16="http://schemas.microsoft.com/office/drawing/2014/main" id="{4F25C22C-B377-4B0B-AF4B-A1742380EC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0" y="555625"/>
          <a:ext cx="3143251"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571499</xdr:colOff>
      <xdr:row>1</xdr:row>
      <xdr:rowOff>7935</xdr:rowOff>
    </xdr:from>
    <xdr:to>
      <xdr:col>22</xdr:col>
      <xdr:colOff>0</xdr:colOff>
      <xdr:row>15</xdr:row>
      <xdr:rowOff>111125</xdr:rowOff>
    </xdr:to>
    <xdr:graphicFrame macro="">
      <xdr:nvGraphicFramePr>
        <xdr:cNvPr id="29" name="Chart 28">
          <a:extLst>
            <a:ext uri="{FF2B5EF4-FFF2-40B4-BE49-F238E27FC236}">
              <a16:creationId xmlns:a16="http://schemas.microsoft.com/office/drawing/2014/main" id="{6D145F1A-D248-409F-B9D1-9D646A6B4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198437</xdr:colOff>
      <xdr:row>17</xdr:row>
      <xdr:rowOff>15876</xdr:rowOff>
    </xdr:from>
    <xdr:to>
      <xdr:col>9</xdr:col>
      <xdr:colOff>246061</xdr:colOff>
      <xdr:row>38</xdr:row>
      <xdr:rowOff>158751</xdr:rowOff>
    </xdr:to>
    <xdr:graphicFrame macro="">
      <xdr:nvGraphicFramePr>
        <xdr:cNvPr id="31" name="Chart 30">
          <a:extLst>
            <a:ext uri="{FF2B5EF4-FFF2-40B4-BE49-F238E27FC236}">
              <a16:creationId xmlns:a16="http://schemas.microsoft.com/office/drawing/2014/main" id="{3E22CD31-7F9C-421E-AFDD-9FF55CC72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508000</xdr:colOff>
      <xdr:row>26</xdr:row>
      <xdr:rowOff>142876</xdr:rowOff>
    </xdr:from>
    <xdr:to>
      <xdr:col>7</xdr:col>
      <xdr:colOff>253999</xdr:colOff>
      <xdr:row>36</xdr:row>
      <xdr:rowOff>95250</xdr:rowOff>
    </xdr:to>
    <xdr:graphicFrame macro="">
      <xdr:nvGraphicFramePr>
        <xdr:cNvPr id="32" name="Chart 31">
          <a:extLst>
            <a:ext uri="{FF2B5EF4-FFF2-40B4-BE49-F238E27FC236}">
              <a16:creationId xmlns:a16="http://schemas.microsoft.com/office/drawing/2014/main" id="{B68086F8-0F7C-486D-9247-81065A55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436561</xdr:colOff>
      <xdr:row>17</xdr:row>
      <xdr:rowOff>36510</xdr:rowOff>
    </xdr:from>
    <xdr:to>
      <xdr:col>15</xdr:col>
      <xdr:colOff>301624</xdr:colOff>
      <xdr:row>39</xdr:row>
      <xdr:rowOff>15874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1D6D75-384E-4122-92A8-9D4BCEE324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922961" y="3167060"/>
              <a:ext cx="3522663" cy="40306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452436</xdr:colOff>
      <xdr:row>21</xdr:row>
      <xdr:rowOff>119062</xdr:rowOff>
    </xdr:from>
    <xdr:to>
      <xdr:col>15</xdr:col>
      <xdr:colOff>87312</xdr:colOff>
      <xdr:row>28</xdr:row>
      <xdr:rowOff>158750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D0F2790A-3538-4322-82BA-4981221922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377236" y="3986212"/>
              <a:ext cx="854076" cy="13287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545564</xdr:colOff>
      <xdr:row>16</xdr:row>
      <xdr:rowOff>176862</xdr:rowOff>
    </xdr:from>
    <xdr:to>
      <xdr:col>21</xdr:col>
      <xdr:colOff>581338</xdr:colOff>
      <xdr:row>26</xdr:row>
      <xdr:rowOff>158973</xdr:rowOff>
    </xdr:to>
    <xdr:graphicFrame macro="">
      <xdr:nvGraphicFramePr>
        <xdr:cNvPr id="22" name="Chart 21">
          <a:extLst>
            <a:ext uri="{FF2B5EF4-FFF2-40B4-BE49-F238E27FC236}">
              <a16:creationId xmlns:a16="http://schemas.microsoft.com/office/drawing/2014/main" id="{1E2BEF5E-0043-481A-966D-54154FE79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518733</xdr:colOff>
      <xdr:row>27</xdr:row>
      <xdr:rowOff>159867</xdr:rowOff>
    </xdr:from>
    <xdr:to>
      <xdr:col>21</xdr:col>
      <xdr:colOff>581338</xdr:colOff>
      <xdr:row>38</xdr:row>
      <xdr:rowOff>186699</xdr:rowOff>
    </xdr:to>
    <xdr:graphicFrame macro="">
      <xdr:nvGraphicFramePr>
        <xdr:cNvPr id="23" name="Chart 22">
          <a:extLst>
            <a:ext uri="{FF2B5EF4-FFF2-40B4-BE49-F238E27FC236}">
              <a16:creationId xmlns:a16="http://schemas.microsoft.com/office/drawing/2014/main" id="{35A76CBF-E2EE-4BAA-BEC9-E6EE31024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178873</xdr:colOff>
      <xdr:row>22</xdr:row>
      <xdr:rowOff>17889</xdr:rowOff>
    </xdr:from>
    <xdr:to>
      <xdr:col>2</xdr:col>
      <xdr:colOff>381000</xdr:colOff>
      <xdr:row>32</xdr:row>
      <xdr:rowOff>148167</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F898339B-366D-4BA1-A016-01A9D01B824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78873" y="3979531"/>
              <a:ext cx="1415261" cy="193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33</xdr:row>
      <xdr:rowOff>21167</xdr:rowOff>
    </xdr:from>
    <xdr:to>
      <xdr:col>2</xdr:col>
      <xdr:colOff>328083</xdr:colOff>
      <xdr:row>42</xdr:row>
      <xdr:rowOff>52916</xdr:rowOff>
    </xdr:to>
    <mc:AlternateContent xmlns:mc="http://schemas.openxmlformats.org/markup-compatibility/2006" xmlns:a14="http://schemas.microsoft.com/office/drawing/2010/main">
      <mc:Choice Requires="a14">
        <xdr:graphicFrame macro="">
          <xdr:nvGraphicFramePr>
            <xdr:cNvPr id="25" name="Gender Value">
              <a:extLst>
                <a:ext uri="{FF2B5EF4-FFF2-40B4-BE49-F238E27FC236}">
                  <a16:creationId xmlns:a16="http://schemas.microsoft.com/office/drawing/2014/main" id="{93D6FE03-3536-491B-A092-AFEA9E051F0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0500" y="5963630"/>
              <a:ext cx="1350717" cy="1652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xdr:row>
      <xdr:rowOff>31750</xdr:rowOff>
    </xdr:from>
    <xdr:to>
      <xdr:col>2</xdr:col>
      <xdr:colOff>403261</xdr:colOff>
      <xdr:row>3</xdr:row>
      <xdr:rowOff>101771</xdr:rowOff>
    </xdr:to>
    <xdr:pic>
      <xdr:nvPicPr>
        <xdr:cNvPr id="30" name="Picture 29">
          <a:extLst>
            <a:ext uri="{FF2B5EF4-FFF2-40B4-BE49-F238E27FC236}">
              <a16:creationId xmlns:a16="http://schemas.microsoft.com/office/drawing/2014/main" id="{264F4844-E878-4AB5-9AA2-C1EB7DE323C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1750" y="222250"/>
          <a:ext cx="1578011" cy="4510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an Jamamim" refreshedDate="46120.545623148151" createdVersion="8" refreshedVersion="8" minRefreshableVersion="3" recordCount="2400" xr:uid="{7B6DB6C8-FC37-4C2F-995C-B00152DA855C}">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s"/>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514727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31F4F8-7FB5-4C54-AB21-C8FDC52172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numFmtId="2"/>
    <dataField name="Average of Days to Deliver" fld="12" subtotal="average" baseField="0" baseItem="1"/>
  </dataFields>
  <formats count="1">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FB786-80C6-4719-BA89-A07BCE797C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1:C25" firstHeaderRow="0" firstDataRow="1" firstDataCol="1"/>
  <pivotFields count="18">
    <pivotField showAll="0"/>
    <pivotField showAll="0" maxSubtotal="1">
      <items count="21">
        <item x="14"/>
        <item x="10"/>
        <item x="12"/>
        <item x="15"/>
        <item x="4"/>
        <item x="7"/>
        <item x="6"/>
        <item x="19"/>
        <item x="18"/>
        <item x="11"/>
        <item x="17"/>
        <item x="5"/>
        <item x="0"/>
        <item x="2"/>
        <item x="9"/>
        <item x="16"/>
        <item x="1"/>
        <item x="13"/>
        <item x="8"/>
        <item x="3"/>
        <item t="max"/>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4B2CA-79BC-4C3F-A708-06F105DA05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1"/>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558762-B0B1-48C7-BC29-7E110A13C5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233C7-51ED-4126-AC48-73C9FFCB54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24" firstHeaderRow="1" firstDataRow="1"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
    </i>
    <i>
      <x v="14"/>
    </i>
    <i>
      <x v="12"/>
    </i>
    <i>
      <x v="16"/>
    </i>
    <i>
      <x v="4"/>
    </i>
    <i>
      <x v="13"/>
    </i>
    <i>
      <x v="11"/>
    </i>
    <i>
      <x v="8"/>
    </i>
    <i>
      <x v="9"/>
    </i>
    <i>
      <x v="3"/>
    </i>
    <i>
      <x v="5"/>
    </i>
    <i>
      <x v="2"/>
    </i>
    <i>
      <x/>
    </i>
    <i>
      <x v="19"/>
    </i>
    <i>
      <x v="15"/>
    </i>
    <i>
      <x v="10"/>
    </i>
    <i>
      <x v="7"/>
    </i>
    <i>
      <x v="17"/>
    </i>
    <i t="grand">
      <x/>
    </i>
  </rowItems>
  <colItems count="1">
    <i/>
  </colItems>
  <dataFields count="1">
    <dataField name="Sum of Quantity" fld="2" baseField="0" baseItem="0"/>
  </dataFields>
  <chartFormats count="1">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F162E8-94B0-4F46-9BEA-DA9F53F6F2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G9:H14"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2">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0"/>
          </reference>
        </references>
      </pivotArea>
    </chartFormat>
    <chartFormat chart="58" format="2">
      <pivotArea type="data" outline="0" fieldPosition="0">
        <references count="2">
          <reference field="4294967294" count="1" selected="0">
            <x v="0"/>
          </reference>
          <reference field="14" count="1" selected="0">
            <x v="0"/>
          </reference>
        </references>
      </pivotArea>
    </chartFormat>
    <chartFormat chart="58" format="3">
      <pivotArea type="data" outline="0" fieldPosition="0">
        <references count="2">
          <reference field="4294967294" count="1" selected="0">
            <x v="0"/>
          </reference>
          <reference field="14" count="1" selected="0">
            <x v="1"/>
          </reference>
        </references>
      </pivotArea>
    </chartFormat>
    <chartFormat chart="58" format="4">
      <pivotArea type="data" outline="0" fieldPosition="0">
        <references count="2">
          <reference field="4294967294" count="1" selected="0">
            <x v="0"/>
          </reference>
          <reference field="14" count="1" selected="0">
            <x v="2"/>
          </reference>
        </references>
      </pivotArea>
    </chartFormat>
    <chartFormat chart="58" format="5">
      <pivotArea type="data" outline="0" fieldPosition="0">
        <references count="2">
          <reference field="4294967294" count="1" selected="0">
            <x v="0"/>
          </reference>
          <reference field="14" count="1" selected="0">
            <x v="3"/>
          </reference>
        </references>
      </pivotArea>
    </chartFormat>
    <chartFormat chart="59" format="6" series="1">
      <pivotArea type="data" outline="0" fieldPosition="0">
        <references count="1">
          <reference field="4294967294" count="1" selected="0">
            <x v="0"/>
          </reference>
        </references>
      </pivotArea>
    </chartFormat>
    <chartFormat chart="59" format="7">
      <pivotArea type="data" outline="0" fieldPosition="0">
        <references count="2">
          <reference field="4294967294" count="1" selected="0">
            <x v="0"/>
          </reference>
          <reference field="14" count="1" selected="0">
            <x v="0"/>
          </reference>
        </references>
      </pivotArea>
    </chartFormat>
    <chartFormat chart="59" format="8">
      <pivotArea type="data" outline="0" fieldPosition="0">
        <references count="2">
          <reference field="4294967294" count="1" selected="0">
            <x v="0"/>
          </reference>
          <reference field="14" count="1" selected="0">
            <x v="1"/>
          </reference>
        </references>
      </pivotArea>
    </chartFormat>
    <chartFormat chart="59" format="9">
      <pivotArea type="data" outline="0" fieldPosition="0">
        <references count="2">
          <reference field="4294967294" count="1" selected="0">
            <x v="0"/>
          </reference>
          <reference field="14" count="1" selected="0">
            <x v="2"/>
          </reference>
        </references>
      </pivotArea>
    </chartFormat>
    <chartFormat chart="59" format="10">
      <pivotArea type="data" outline="0" fieldPosition="0">
        <references count="2">
          <reference field="4294967294" count="1" selected="0">
            <x v="0"/>
          </reference>
          <reference field="14" count="1" selected="0">
            <x v="3"/>
          </reference>
        </references>
      </pivotArea>
    </chartFormat>
    <chartFormat chart="60" format="6" series="1">
      <pivotArea type="data" outline="0" fieldPosition="0">
        <references count="1">
          <reference field="4294967294" count="1" selected="0">
            <x v="0"/>
          </reference>
        </references>
      </pivotArea>
    </chartFormat>
    <chartFormat chart="60" format="7">
      <pivotArea type="data" outline="0" fieldPosition="0">
        <references count="2">
          <reference field="4294967294" count="1" selected="0">
            <x v="0"/>
          </reference>
          <reference field="14" count="1" selected="0">
            <x v="0"/>
          </reference>
        </references>
      </pivotArea>
    </chartFormat>
    <chartFormat chart="60" format="8">
      <pivotArea type="data" outline="0" fieldPosition="0">
        <references count="2">
          <reference field="4294967294" count="1" selected="0">
            <x v="0"/>
          </reference>
          <reference field="14" count="1" selected="0">
            <x v="1"/>
          </reference>
        </references>
      </pivotArea>
    </chartFormat>
    <chartFormat chart="60" format="9">
      <pivotArea type="data" outline="0" fieldPosition="0">
        <references count="2">
          <reference field="4294967294" count="1" selected="0">
            <x v="0"/>
          </reference>
          <reference field="14" count="1" selected="0">
            <x v="2"/>
          </reference>
        </references>
      </pivotArea>
    </chartFormat>
    <chartFormat chart="60"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5028D5-6710-4A1D-9200-D2D6999FF9B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37"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34">
    <i>
      <x/>
      <x/>
    </i>
    <i r="1">
      <x v="6"/>
    </i>
    <i r="1">
      <x v="8"/>
    </i>
    <i r="1">
      <x v="9"/>
    </i>
    <i r="1">
      <x v="10"/>
    </i>
    <i r="1">
      <x v="11"/>
    </i>
    <i r="1">
      <x v="14"/>
    </i>
    <i r="1">
      <x v="15"/>
    </i>
    <i r="1">
      <x v="18"/>
    </i>
    <i r="1">
      <x v="19"/>
    </i>
    <i r="1">
      <x v="20"/>
    </i>
    <i r="1">
      <x v="23"/>
    </i>
    <i r="1">
      <x v="24"/>
    </i>
    <i r="1">
      <x v="25"/>
    </i>
    <i r="1">
      <x v="26"/>
    </i>
    <i r="1">
      <x v="29"/>
    </i>
    <i r="1">
      <x v="30"/>
    </i>
    <i r="1">
      <x v="32"/>
    </i>
    <i r="1">
      <x v="33"/>
    </i>
    <i r="1">
      <x v="34"/>
    </i>
    <i r="1">
      <x v="35"/>
    </i>
    <i r="1">
      <x v="36"/>
    </i>
    <i r="1">
      <x v="37"/>
    </i>
    <i r="1">
      <x v="40"/>
    </i>
    <i r="1">
      <x v="41"/>
    </i>
    <i r="1">
      <x v="42"/>
    </i>
    <i r="1">
      <x v="43"/>
    </i>
    <i r="1">
      <x v="45"/>
    </i>
    <i r="1">
      <x v="48"/>
    </i>
    <i r="1">
      <x v="49"/>
    </i>
    <i r="1">
      <x v="50"/>
    </i>
    <i r="1">
      <x v="53"/>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27B720-3F96-4D70-AAC4-D32D07669F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8"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7" format="10" series="1">
      <pivotArea type="data" outline="0" fieldPosition="0">
        <references count="2">
          <reference field="4294967294" count="1" selected="0">
            <x v="0"/>
          </reference>
          <reference field="9" count="1" selected="0">
            <x v="0"/>
          </reference>
        </references>
      </pivotArea>
    </chartFormat>
    <chartFormat chart="7" format="11" series="1">
      <pivotArea type="data" outline="0" fieldPosition="0">
        <references count="2">
          <reference field="4294967294" count="1" selected="0">
            <x v="0"/>
          </reference>
          <reference field="9" count="1" selected="0">
            <x v="1"/>
          </reference>
        </references>
      </pivotArea>
    </chartFormat>
    <chartFormat chart="7" format="12" series="1">
      <pivotArea type="data" outline="0" fieldPosition="0">
        <references count="2">
          <reference field="4294967294" count="1" selected="0">
            <x v="0"/>
          </reference>
          <reference field="9" count="1" selected="0">
            <x v="2"/>
          </reference>
        </references>
      </pivotArea>
    </chartFormat>
    <chartFormat chart="7" format="13" series="1">
      <pivotArea type="data" outline="0" fieldPosition="0">
        <references count="2">
          <reference field="4294967294" count="1" selected="0">
            <x v="0"/>
          </reference>
          <reference field="9" count="1" selected="0">
            <x v="3"/>
          </reference>
        </references>
      </pivotArea>
    </chartFormat>
    <chartFormat chart="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7C3895-AAE0-43FF-A6BF-C4381FF790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12">
    <i>
      <x/>
    </i>
    <i>
      <x v="1"/>
    </i>
    <i>
      <x v="2"/>
    </i>
    <i>
      <x v="3"/>
    </i>
    <i>
      <x v="4"/>
    </i>
    <i>
      <x v="5"/>
    </i>
    <i>
      <x v="6"/>
    </i>
    <i>
      <x v="7"/>
    </i>
    <i>
      <x v="8"/>
    </i>
    <i>
      <x v="9"/>
    </i>
    <i>
      <x v="13"/>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EF613ED-2578-44FB-AC1C-D8787C5ECF5C}" sourceName="Order Mode">
  <pivotTables>
    <pivotTable tabId="12" name="PivotTable1"/>
    <pivotTable tabId="5" name="PivotTable1"/>
    <pivotTable tabId="5" name="PivotTable3"/>
    <pivotTable tabId="7" name="PivotTable4"/>
    <pivotTable tabId="8" name="PivotTable5"/>
    <pivotTable tabId="11" name="PivotTable1"/>
    <pivotTable tabId="10" name="PivotTable6"/>
    <pivotTable tabId="10" name="PivotTable7"/>
    <pivotTable tabId="13" name="PivotTable2"/>
  </pivotTables>
  <data>
    <tabular pivotCacheId="514727098">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D13AF62-9B07-47E9-A224-A728298E6E85}" sourceName="Gender Value">
  <pivotTables>
    <pivotTable tabId="12" name="PivotTable1"/>
    <pivotTable tabId="5" name="PivotTable1"/>
    <pivotTable tabId="5" name="PivotTable3"/>
    <pivotTable tabId="7" name="PivotTable4"/>
    <pivotTable tabId="8" name="PivotTable5"/>
    <pivotTable tabId="10" name="PivotTable6"/>
    <pivotTable tabId="10" name="PivotTable7"/>
    <pivotTable tabId="13" name="PivotTable2"/>
  </pivotTables>
  <data>
    <tabular pivotCacheId="51472709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93EC465-5D2F-4C95-880C-9452032FC306}" cache="Slicer_Order_Mode" caption="Order Mode" rowHeight="251883"/>
  <slicer name="Gender Value" xr10:uid="{A9C186C9-C987-4DD8-8B85-9E3A178611DF}"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 - 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 = "M", "Male",orders[[#This Row],[Customer Gender]] = "F", "Female",orders[[#This Row],[Customer Gender]] = "O", "Others",TRUE,"Unknown")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2BD0-3DA7-449B-AFD7-740301BE91D0}">
  <dimension ref="A3:K25"/>
  <sheetViews>
    <sheetView topLeftCell="A7" workbookViewId="0">
      <selection activeCell="A11" sqref="A11"/>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7" max="7" width="15.1796875" bestFit="1" customWidth="1"/>
    <col min="10" max="10" width="9.6328125" bestFit="1" customWidth="1"/>
  </cols>
  <sheetData>
    <row r="3" spans="1:11" x14ac:dyDescent="0.35">
      <c r="A3" t="s">
        <v>2519</v>
      </c>
      <c r="B3" t="s">
        <v>2520</v>
      </c>
      <c r="C3" t="s">
        <v>2521</v>
      </c>
      <c r="D3" t="s">
        <v>2522</v>
      </c>
      <c r="E3" t="s">
        <v>2523</v>
      </c>
      <c r="G3" t="s">
        <v>2524</v>
      </c>
    </row>
    <row r="4" spans="1:11" x14ac:dyDescent="0.35">
      <c r="A4">
        <v>248</v>
      </c>
      <c r="B4">
        <v>1415</v>
      </c>
      <c r="C4">
        <v>73126.199999999953</v>
      </c>
      <c r="D4" s="8">
        <v>4.024193548387097</v>
      </c>
      <c r="E4">
        <v>2.399193548387097</v>
      </c>
      <c r="G4" t="s">
        <v>2518</v>
      </c>
      <c r="H4" t="s">
        <v>2525</v>
      </c>
      <c r="I4" t="s">
        <v>4</v>
      </c>
      <c r="J4" t="s">
        <v>2507</v>
      </c>
      <c r="K4" t="s">
        <v>2526</v>
      </c>
    </row>
    <row r="5" spans="1:11" x14ac:dyDescent="0.35">
      <c r="G5" s="5">
        <f>A4</f>
        <v>248</v>
      </c>
      <c r="H5" s="5">
        <f>B4</f>
        <v>1415</v>
      </c>
      <c r="I5" s="5">
        <f>C4</f>
        <v>73126.199999999953</v>
      </c>
      <c r="J5" s="9">
        <f>D4</f>
        <v>4.024193548387097</v>
      </c>
      <c r="K5" s="5">
        <f>E4</f>
        <v>2.399193548387097</v>
      </c>
    </row>
    <row r="11" spans="1:11" x14ac:dyDescent="0.35">
      <c r="A11" s="6" t="s">
        <v>2527</v>
      </c>
      <c r="B11" t="s">
        <v>2520</v>
      </c>
      <c r="C11" t="s">
        <v>2521</v>
      </c>
    </row>
    <row r="12" spans="1:11" x14ac:dyDescent="0.35">
      <c r="A12" s="7">
        <v>1</v>
      </c>
      <c r="B12">
        <v>121</v>
      </c>
      <c r="C12">
        <v>9481.5</v>
      </c>
    </row>
    <row r="13" spans="1:11" x14ac:dyDescent="0.35">
      <c r="A13" s="7">
        <v>2</v>
      </c>
      <c r="B13">
        <v>34</v>
      </c>
      <c r="C13">
        <v>1594.1000000000001</v>
      </c>
    </row>
    <row r="14" spans="1:11" x14ac:dyDescent="0.35">
      <c r="A14" s="7">
        <v>3</v>
      </c>
      <c r="B14">
        <v>37</v>
      </c>
      <c r="C14">
        <v>1449.3999999999999</v>
      </c>
    </row>
    <row r="15" spans="1:11" x14ac:dyDescent="0.35">
      <c r="A15" s="7">
        <v>4</v>
      </c>
      <c r="B15">
        <v>189</v>
      </c>
      <c r="C15">
        <v>7697</v>
      </c>
    </row>
    <row r="16" spans="1:11" x14ac:dyDescent="0.35">
      <c r="A16" s="7">
        <v>5</v>
      </c>
      <c r="B16">
        <v>126</v>
      </c>
      <c r="C16">
        <v>5755.5999999999995</v>
      </c>
    </row>
    <row r="17" spans="1:3" x14ac:dyDescent="0.35">
      <c r="A17" s="7">
        <v>6</v>
      </c>
      <c r="B17">
        <v>175</v>
      </c>
      <c r="C17">
        <v>8601.6999999999989</v>
      </c>
    </row>
    <row r="18" spans="1:3" x14ac:dyDescent="0.35">
      <c r="A18" s="7">
        <v>7</v>
      </c>
      <c r="B18">
        <v>82</v>
      </c>
      <c r="C18">
        <v>3824.5999999999995</v>
      </c>
    </row>
    <row r="19" spans="1:3" x14ac:dyDescent="0.35">
      <c r="A19" s="7">
        <v>8</v>
      </c>
      <c r="B19">
        <v>72</v>
      </c>
      <c r="C19">
        <v>3408.3999999999996</v>
      </c>
    </row>
    <row r="20" spans="1:3" x14ac:dyDescent="0.35">
      <c r="A20" s="7">
        <v>9</v>
      </c>
      <c r="B20">
        <v>129</v>
      </c>
      <c r="C20">
        <v>4730.7999999999984</v>
      </c>
    </row>
    <row r="21" spans="1:3" x14ac:dyDescent="0.35">
      <c r="A21" s="7">
        <v>10</v>
      </c>
      <c r="B21">
        <v>198</v>
      </c>
      <c r="C21">
        <v>12141.000000000002</v>
      </c>
    </row>
    <row r="22" spans="1:3" x14ac:dyDescent="0.35">
      <c r="A22" s="7">
        <v>11</v>
      </c>
      <c r="B22">
        <v>63</v>
      </c>
      <c r="C22">
        <v>4260.8999999999996</v>
      </c>
    </row>
    <row r="23" spans="1:3" x14ac:dyDescent="0.35">
      <c r="A23" s="7">
        <v>12</v>
      </c>
      <c r="B23">
        <v>97</v>
      </c>
      <c r="C23">
        <v>6819.5999999999995</v>
      </c>
    </row>
    <row r="24" spans="1:3" x14ac:dyDescent="0.35">
      <c r="A24" s="7">
        <v>13</v>
      </c>
      <c r="B24">
        <v>92</v>
      </c>
      <c r="C24">
        <v>3361.6</v>
      </c>
    </row>
    <row r="25" spans="1:3" x14ac:dyDescent="0.35">
      <c r="A25" s="7" t="s">
        <v>2528</v>
      </c>
      <c r="B25">
        <v>1415</v>
      </c>
      <c r="C25">
        <v>73126.2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ADB6-9226-44F0-B879-39747CC2681F}">
  <dimension ref="A1"/>
  <sheetViews>
    <sheetView tabSelected="1" zoomScale="67" zoomScaleNormal="67" workbookViewId="0">
      <selection activeCell="P49" sqref="P4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A68B-3D18-4019-B0F8-643A97D06241}">
  <dimension ref="A2:M10"/>
  <sheetViews>
    <sheetView topLeftCell="B1" zoomScale="80" zoomScaleNormal="80" workbookViewId="0">
      <selection activeCell="F24" sqref="F24"/>
    </sheetView>
  </sheetViews>
  <sheetFormatPr defaultRowHeight="14.5" x14ac:dyDescent="0.35"/>
  <cols>
    <col min="1" max="1" width="13.81640625" bestFit="1" customWidth="1"/>
    <col min="2" max="2" width="16.453125" bestFit="1" customWidth="1"/>
    <col min="3" max="3" width="7.26953125" bestFit="1" customWidth="1"/>
    <col min="4" max="4" width="6.7265625" bestFit="1" customWidth="1"/>
    <col min="6" max="6" width="10.81640625" bestFit="1" customWidth="1"/>
    <col min="8" max="8" width="10.6328125" bestFit="1" customWidth="1"/>
    <col min="13" max="13" width="12.26953125" bestFit="1" customWidth="1"/>
  </cols>
  <sheetData>
    <row r="2" spans="1:13" x14ac:dyDescent="0.35">
      <c r="H2" t="s">
        <v>2534</v>
      </c>
    </row>
    <row r="3" spans="1:13" x14ac:dyDescent="0.35">
      <c r="A3" s="6" t="s">
        <v>2521</v>
      </c>
      <c r="B3" s="6" t="s">
        <v>2529</v>
      </c>
    </row>
    <row r="4" spans="1:13" x14ac:dyDescent="0.35">
      <c r="A4" s="6" t="s">
        <v>2527</v>
      </c>
      <c r="B4" t="s">
        <v>2530</v>
      </c>
      <c r="C4" t="s">
        <v>2531</v>
      </c>
      <c r="D4" t="s">
        <v>2532</v>
      </c>
      <c r="E4" t="s">
        <v>2533</v>
      </c>
      <c r="F4" t="s">
        <v>2528</v>
      </c>
      <c r="I4" t="str">
        <f>B4</f>
        <v>Female</v>
      </c>
      <c r="J4" t="str">
        <f>C4</f>
        <v>Male</v>
      </c>
      <c r="K4" t="str">
        <f>D4</f>
        <v>Others</v>
      </c>
      <c r="L4" t="str">
        <f>E4</f>
        <v>Unknown</v>
      </c>
    </row>
    <row r="5" spans="1:13" x14ac:dyDescent="0.35">
      <c r="A5" s="7" t="s">
        <v>51</v>
      </c>
      <c r="B5" s="10">
        <v>0.44628737716440903</v>
      </c>
      <c r="C5" s="10">
        <v>0.38217902748946336</v>
      </c>
      <c r="D5" s="10">
        <v>1.3597041826322164E-2</v>
      </c>
      <c r="E5" s="10">
        <v>0.15793655351980546</v>
      </c>
      <c r="F5" s="10">
        <v>1</v>
      </c>
      <c r="H5" t="str">
        <f>A5</f>
        <v>Instagram</v>
      </c>
      <c r="I5" s="10">
        <f t="shared" ref="I5:L9" si="0">B5</f>
        <v>0.44628737716440903</v>
      </c>
      <c r="J5" s="10">
        <f t="shared" si="0"/>
        <v>0.38217902748946336</v>
      </c>
      <c r="K5" s="10">
        <f t="shared" si="0"/>
        <v>1.3597041826322164E-2</v>
      </c>
      <c r="L5" s="10">
        <f t="shared" si="0"/>
        <v>0.15793655351980546</v>
      </c>
    </row>
    <row r="6" spans="1:13" x14ac:dyDescent="0.35">
      <c r="A6" s="7" t="s">
        <v>2528</v>
      </c>
      <c r="B6" s="10">
        <v>0.44628737716440903</v>
      </c>
      <c r="C6" s="10">
        <v>0.38217902748946336</v>
      </c>
      <c r="D6" s="10">
        <v>1.3597041826322164E-2</v>
      </c>
      <c r="E6" s="10">
        <v>0.15793655351980546</v>
      </c>
      <c r="F6" s="10">
        <v>1</v>
      </c>
      <c r="H6" t="str">
        <f>A6</f>
        <v>Grand Total</v>
      </c>
      <c r="I6" s="10">
        <f t="shared" si="0"/>
        <v>0.44628737716440903</v>
      </c>
      <c r="J6" s="10">
        <f t="shared" si="0"/>
        <v>0.38217902748946336</v>
      </c>
      <c r="K6" s="10">
        <f t="shared" si="0"/>
        <v>1.3597041826322164E-2</v>
      </c>
      <c r="L6" s="10">
        <f t="shared" si="0"/>
        <v>0.15793655351980546</v>
      </c>
    </row>
    <row r="7" spans="1:13" x14ac:dyDescent="0.35">
      <c r="H7">
        <f>A7</f>
        <v>0</v>
      </c>
      <c r="I7" s="10">
        <f t="shared" si="0"/>
        <v>0</v>
      </c>
      <c r="J7" s="10">
        <f t="shared" si="0"/>
        <v>0</v>
      </c>
      <c r="K7" s="10">
        <f t="shared" si="0"/>
        <v>0</v>
      </c>
      <c r="L7" s="10">
        <f t="shared" si="0"/>
        <v>0</v>
      </c>
    </row>
    <row r="8" spans="1:13" x14ac:dyDescent="0.35">
      <c r="H8">
        <f>A8</f>
        <v>0</v>
      </c>
      <c r="I8" s="10">
        <f t="shared" si="0"/>
        <v>0</v>
      </c>
      <c r="J8" s="10">
        <f t="shared" si="0"/>
        <v>0</v>
      </c>
      <c r="K8" s="10">
        <f t="shared" si="0"/>
        <v>0</v>
      </c>
      <c r="L8" s="10">
        <f t="shared" si="0"/>
        <v>0</v>
      </c>
    </row>
    <row r="9" spans="1:13" x14ac:dyDescent="0.35">
      <c r="H9">
        <f>A9</f>
        <v>0</v>
      </c>
      <c r="I9" s="10">
        <f t="shared" si="0"/>
        <v>0</v>
      </c>
      <c r="J9" s="10">
        <f t="shared" si="0"/>
        <v>0</v>
      </c>
      <c r="K9" s="10">
        <f t="shared" si="0"/>
        <v>0</v>
      </c>
      <c r="L9" s="10">
        <f t="shared" si="0"/>
        <v>0</v>
      </c>
    </row>
    <row r="10" spans="1:13" x14ac:dyDescent="0.35">
      <c r="I10" s="10"/>
      <c r="J10" s="10"/>
      <c r="K10" s="10"/>
      <c r="L10" s="10"/>
      <c r="M10" s="10"/>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3B192-DDA2-4502-ADC0-6BBC62A01B02}">
  <dimension ref="A3:B11"/>
  <sheetViews>
    <sheetView workbookViewId="0">
      <selection activeCell="D13" sqref="D13"/>
    </sheetView>
  </sheetViews>
  <sheetFormatPr defaultRowHeight="14.5" x14ac:dyDescent="0.35"/>
  <cols>
    <col min="1" max="2" width="12.453125" bestFit="1" customWidth="1"/>
  </cols>
  <sheetData>
    <row r="3" spans="1:2" x14ac:dyDescent="0.35">
      <c r="A3" s="6" t="s">
        <v>2527</v>
      </c>
      <c r="B3" t="s">
        <v>2519</v>
      </c>
    </row>
    <row r="4" spans="1:2" x14ac:dyDescent="0.35">
      <c r="A4" s="7">
        <v>1</v>
      </c>
      <c r="B4">
        <v>36</v>
      </c>
    </row>
    <row r="5" spans="1:2" x14ac:dyDescent="0.35">
      <c r="A5" s="7">
        <v>2</v>
      </c>
      <c r="B5">
        <v>60</v>
      </c>
    </row>
    <row r="6" spans="1:2" x14ac:dyDescent="0.35">
      <c r="A6" s="7">
        <v>3</v>
      </c>
      <c r="B6">
        <v>36</v>
      </c>
    </row>
    <row r="7" spans="1:2" x14ac:dyDescent="0.35">
      <c r="A7" s="7">
        <v>4</v>
      </c>
      <c r="B7">
        <v>23</v>
      </c>
    </row>
    <row r="8" spans="1:2" x14ac:dyDescent="0.35">
      <c r="A8" s="7">
        <v>5</v>
      </c>
      <c r="B8">
        <v>19</v>
      </c>
    </row>
    <row r="9" spans="1:2" x14ac:dyDescent="0.35">
      <c r="A9" s="7" t="s">
        <v>2535</v>
      </c>
      <c r="B9">
        <v>47</v>
      </c>
    </row>
    <row r="10" spans="1:2" x14ac:dyDescent="0.35">
      <c r="A10" s="7" t="s">
        <v>2536</v>
      </c>
      <c r="B10">
        <v>27</v>
      </c>
    </row>
    <row r="11" spans="1:2" x14ac:dyDescent="0.35">
      <c r="A11" s="7" t="s">
        <v>2528</v>
      </c>
      <c r="B11">
        <v>248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8325-1042-4351-A401-ECC2498AE259}">
  <dimension ref="A3:H24"/>
  <sheetViews>
    <sheetView topLeftCell="B7" workbookViewId="0">
      <selection activeCell="G12" sqref="G12"/>
    </sheetView>
  </sheetViews>
  <sheetFormatPr defaultRowHeight="14.5" x14ac:dyDescent="0.35"/>
  <cols>
    <col min="1" max="1" width="19" bestFit="1" customWidth="1"/>
    <col min="2" max="2" width="14.26953125" bestFit="1" customWidth="1"/>
    <col min="7" max="7" width="12.453125" bestFit="1" customWidth="1"/>
    <col min="8" max="8" width="14.26953125" bestFit="1" customWidth="1"/>
  </cols>
  <sheetData>
    <row r="3" spans="1:8" x14ac:dyDescent="0.35">
      <c r="A3" s="6" t="s">
        <v>2527</v>
      </c>
      <c r="B3" t="s">
        <v>2520</v>
      </c>
    </row>
    <row r="4" spans="1:8" x14ac:dyDescent="0.35">
      <c r="A4" s="7" t="s">
        <v>44</v>
      </c>
      <c r="B4">
        <v>240</v>
      </c>
    </row>
    <row r="5" spans="1:8" x14ac:dyDescent="0.35">
      <c r="A5" s="7" t="s">
        <v>39</v>
      </c>
      <c r="B5">
        <v>233</v>
      </c>
    </row>
    <row r="6" spans="1:8" x14ac:dyDescent="0.35">
      <c r="A6" s="7" t="s">
        <v>54</v>
      </c>
      <c r="B6">
        <v>130</v>
      </c>
    </row>
    <row r="7" spans="1:8" x14ac:dyDescent="0.35">
      <c r="A7" s="7" t="s">
        <v>46</v>
      </c>
      <c r="B7">
        <v>99</v>
      </c>
    </row>
    <row r="8" spans="1:8" x14ac:dyDescent="0.35">
      <c r="A8" s="7" t="s">
        <v>16</v>
      </c>
      <c r="B8">
        <v>97</v>
      </c>
    </row>
    <row r="9" spans="1:8" x14ac:dyDescent="0.35">
      <c r="A9" s="7" t="s">
        <v>22</v>
      </c>
      <c r="B9">
        <v>91</v>
      </c>
      <c r="G9" s="6" t="s">
        <v>2527</v>
      </c>
      <c r="H9" t="s">
        <v>2520</v>
      </c>
    </row>
    <row r="10" spans="1:8" x14ac:dyDescent="0.35">
      <c r="A10" s="7" t="s">
        <v>32</v>
      </c>
      <c r="B10">
        <v>88</v>
      </c>
      <c r="G10" s="7" t="s">
        <v>2530</v>
      </c>
      <c r="H10">
        <v>733</v>
      </c>
    </row>
    <row r="11" spans="1:8" x14ac:dyDescent="0.35">
      <c r="A11" s="7" t="s">
        <v>26</v>
      </c>
      <c r="B11">
        <v>85</v>
      </c>
      <c r="G11" s="7" t="s">
        <v>2531</v>
      </c>
      <c r="H11">
        <v>479</v>
      </c>
    </row>
    <row r="12" spans="1:8" x14ac:dyDescent="0.35">
      <c r="A12" s="7" t="s">
        <v>37</v>
      </c>
      <c r="B12">
        <v>81</v>
      </c>
      <c r="G12" s="7" t="s">
        <v>2532</v>
      </c>
      <c r="H12">
        <v>17</v>
      </c>
    </row>
    <row r="13" spans="1:8" x14ac:dyDescent="0.35">
      <c r="A13" s="7" t="s">
        <v>146</v>
      </c>
      <c r="B13">
        <v>52</v>
      </c>
      <c r="G13" s="7" t="s">
        <v>2533</v>
      </c>
      <c r="H13">
        <v>186</v>
      </c>
    </row>
    <row r="14" spans="1:8" x14ac:dyDescent="0.35">
      <c r="A14" s="7" t="s">
        <v>67</v>
      </c>
      <c r="B14">
        <v>42</v>
      </c>
      <c r="G14" s="7" t="s">
        <v>2528</v>
      </c>
      <c r="H14">
        <v>1415</v>
      </c>
    </row>
    <row r="15" spans="1:8" x14ac:dyDescent="0.35">
      <c r="A15" s="7" t="s">
        <v>123</v>
      </c>
      <c r="B15">
        <v>37</v>
      </c>
    </row>
    <row r="16" spans="1:8" x14ac:dyDescent="0.35">
      <c r="A16" s="7" t="s">
        <v>42</v>
      </c>
      <c r="B16">
        <v>31</v>
      </c>
    </row>
    <row r="17" spans="1:2" x14ac:dyDescent="0.35">
      <c r="A17" s="7" t="s">
        <v>69</v>
      </c>
      <c r="B17">
        <v>29</v>
      </c>
    </row>
    <row r="18" spans="1:2" x14ac:dyDescent="0.35">
      <c r="A18" s="7" t="s">
        <v>81</v>
      </c>
      <c r="B18">
        <v>25</v>
      </c>
    </row>
    <row r="19" spans="1:2" x14ac:dyDescent="0.35">
      <c r="A19" s="7" t="s">
        <v>30</v>
      </c>
      <c r="B19">
        <v>21</v>
      </c>
    </row>
    <row r="20" spans="1:2" x14ac:dyDescent="0.35">
      <c r="A20" s="7" t="s">
        <v>128</v>
      </c>
      <c r="B20">
        <v>21</v>
      </c>
    </row>
    <row r="21" spans="1:2" x14ac:dyDescent="0.35">
      <c r="A21" s="7" t="s">
        <v>135</v>
      </c>
      <c r="B21">
        <v>10</v>
      </c>
    </row>
    <row r="22" spans="1:2" x14ac:dyDescent="0.35">
      <c r="A22" s="7" t="s">
        <v>171</v>
      </c>
      <c r="B22">
        <v>2</v>
      </c>
    </row>
    <row r="23" spans="1:2" x14ac:dyDescent="0.35">
      <c r="A23" s="7" t="s">
        <v>76</v>
      </c>
      <c r="B23">
        <v>1</v>
      </c>
    </row>
    <row r="24" spans="1:2" x14ac:dyDescent="0.35">
      <c r="A24" s="7" t="s">
        <v>2528</v>
      </c>
      <c r="B24">
        <v>1415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33C6-D523-4880-8BDA-F7E73B14342A}">
  <dimension ref="A2:N60"/>
  <sheetViews>
    <sheetView topLeftCell="E37" zoomScaleNormal="100" workbookViewId="0">
      <selection activeCell="L3" sqref="L3:N60"/>
    </sheetView>
  </sheetViews>
  <sheetFormatPr defaultRowHeight="14.5" x14ac:dyDescent="0.35"/>
  <cols>
    <col min="1" max="1" width="23.1796875" bestFit="1" customWidth="1"/>
    <col min="2" max="2" width="19.26953125" bestFit="1" customWidth="1"/>
    <col min="3" max="3" width="14.26953125" bestFit="1" customWidth="1"/>
    <col min="4" max="4" width="13.6328125" bestFit="1" customWidth="1"/>
    <col min="5" max="5" width="11.6328125" bestFit="1" customWidth="1"/>
    <col min="6" max="6" width="15.54296875" bestFit="1" customWidth="1"/>
    <col min="7" max="7" width="17.54296875" bestFit="1" customWidth="1"/>
    <col min="8" max="8" width="18.1796875" bestFit="1" customWidth="1"/>
    <col min="9" max="9" width="15" bestFit="1" customWidth="1"/>
    <col min="10" max="10" width="15.1796875" bestFit="1" customWidth="1"/>
    <col min="11" max="11" width="12.90625" bestFit="1" customWidth="1"/>
    <col min="12" max="12" width="18.453125" bestFit="1" customWidth="1"/>
    <col min="13" max="13" width="24.453125" bestFit="1" customWidth="1"/>
    <col min="14" max="14" width="14.26953125" bestFit="1" customWidth="1"/>
    <col min="15" max="15" width="10.7265625" bestFit="1" customWidth="1"/>
    <col min="16" max="16" width="11" bestFit="1" customWidth="1"/>
    <col min="17" max="17" width="11.7265625" bestFit="1" customWidth="1"/>
    <col min="18" max="18" width="11.08984375" bestFit="1" customWidth="1"/>
    <col min="19" max="19" width="13.08984375" bestFit="1" customWidth="1"/>
    <col min="20" max="20" width="17.08984375" bestFit="1" customWidth="1"/>
    <col min="21" max="21" width="13.453125" bestFit="1" customWidth="1"/>
    <col min="22" max="22" width="11.90625" bestFit="1" customWidth="1"/>
    <col min="23" max="23" width="14.90625" bestFit="1" customWidth="1"/>
    <col min="24" max="24" width="16.54296875" bestFit="1" customWidth="1"/>
    <col min="25" max="25" width="13.453125" bestFit="1" customWidth="1"/>
    <col min="26" max="26" width="12.7265625" bestFit="1" customWidth="1"/>
    <col min="27" max="27" width="11.7265625" bestFit="1" customWidth="1"/>
    <col min="28" max="28" width="15" bestFit="1" customWidth="1"/>
    <col min="29" max="29" width="11.54296875" bestFit="1" customWidth="1"/>
    <col min="30" max="30" width="13.54296875" bestFit="1" customWidth="1"/>
    <col min="31" max="31" width="13.1796875" bestFit="1" customWidth="1"/>
    <col min="32" max="32" width="12.453125" bestFit="1" customWidth="1"/>
    <col min="33" max="33" width="13.54296875" bestFit="1" customWidth="1"/>
    <col min="34" max="34" width="15.08984375" bestFit="1" customWidth="1"/>
    <col min="35" max="35" width="17.453125" bestFit="1" customWidth="1"/>
    <col min="36" max="36" width="16.1796875" bestFit="1" customWidth="1"/>
    <col min="37" max="37" width="20.08984375" bestFit="1" customWidth="1"/>
    <col min="38" max="38" width="15.54296875" bestFit="1" customWidth="1"/>
    <col min="39" max="39" width="12.54296875" bestFit="1" customWidth="1"/>
    <col min="40" max="40" width="17.36328125" bestFit="1" customWidth="1"/>
    <col min="41" max="41" width="20.6328125" bestFit="1" customWidth="1"/>
    <col min="42" max="42" width="15.90625" bestFit="1" customWidth="1"/>
    <col min="43" max="43" width="19" bestFit="1" customWidth="1"/>
    <col min="44" max="44" width="17" bestFit="1" customWidth="1"/>
    <col min="45" max="45" width="16.26953125" bestFit="1" customWidth="1"/>
    <col min="46" max="46" width="13" bestFit="1" customWidth="1"/>
    <col min="47" max="47" width="12.08984375" bestFit="1" customWidth="1"/>
    <col min="48" max="48" width="14.36328125" bestFit="1" customWidth="1"/>
    <col min="49" max="49" width="13" bestFit="1" customWidth="1"/>
    <col min="50" max="50" width="14.08984375" bestFit="1" customWidth="1"/>
    <col min="51" max="51" width="16.08984375" bestFit="1" customWidth="1"/>
    <col min="52" max="52" width="12.26953125" bestFit="1" customWidth="1"/>
    <col min="53" max="53" width="13.90625" bestFit="1" customWidth="1"/>
    <col min="54" max="54" width="12.453125" bestFit="1" customWidth="1"/>
    <col min="55" max="55" width="12.36328125" bestFit="1" customWidth="1"/>
    <col min="56" max="56" width="15.6328125" bestFit="1" customWidth="1"/>
    <col min="57" max="57" width="13.81640625" bestFit="1" customWidth="1"/>
    <col min="58" max="58" width="10.81640625" bestFit="1" customWidth="1"/>
    <col min="59" max="59" width="11.453125" bestFit="1" customWidth="1"/>
    <col min="60" max="60" width="10.36328125" bestFit="1" customWidth="1"/>
    <col min="61" max="61" width="14.1796875" bestFit="1" customWidth="1"/>
    <col min="62" max="62" width="17.08984375" bestFit="1" customWidth="1"/>
    <col min="63" max="63" width="15.26953125" bestFit="1" customWidth="1"/>
    <col min="64" max="64" width="18.08984375" bestFit="1" customWidth="1"/>
    <col min="65" max="65" width="16.81640625" bestFit="1" customWidth="1"/>
    <col min="66" max="66" width="19.6328125" bestFit="1" customWidth="1"/>
    <col min="67" max="67" width="19.1796875" bestFit="1" customWidth="1"/>
    <col min="68" max="68" width="22" bestFit="1" customWidth="1"/>
    <col min="69" max="69" width="17.90625" bestFit="1" customWidth="1"/>
    <col min="70" max="70" width="20.7265625" bestFit="1" customWidth="1"/>
    <col min="71" max="71" width="21.81640625" bestFit="1" customWidth="1"/>
    <col min="72" max="72" width="24.6328125" bestFit="1" customWidth="1"/>
    <col min="73" max="73" width="17.26953125" bestFit="1" customWidth="1"/>
    <col min="74" max="74" width="20.08984375" bestFit="1" customWidth="1"/>
    <col min="75" max="75" width="14.26953125" bestFit="1" customWidth="1"/>
    <col min="76" max="76" width="17.1796875" bestFit="1" customWidth="1"/>
    <col min="77" max="77" width="19.08984375" bestFit="1" customWidth="1"/>
    <col min="78" max="78" width="21.90625" bestFit="1" customWidth="1"/>
    <col min="79" max="79" width="22.36328125" bestFit="1" customWidth="1"/>
    <col min="80" max="80" width="25.26953125" bestFit="1" customWidth="1"/>
    <col min="81" max="81" width="17.6328125" bestFit="1" customWidth="1"/>
    <col min="82" max="82" width="20.453125" bestFit="1" customWidth="1"/>
    <col min="83" max="83" width="20.7265625" bestFit="1" customWidth="1"/>
    <col min="84" max="84" width="23.54296875" bestFit="1" customWidth="1"/>
    <col min="85" max="85" width="18.7265625" bestFit="1" customWidth="1"/>
    <col min="86" max="86" width="21.54296875" bestFit="1" customWidth="1"/>
    <col min="87" max="87" width="18" bestFit="1" customWidth="1"/>
    <col min="88" max="88" width="20.81640625" bestFit="1" customWidth="1"/>
    <col min="89" max="89" width="14.7265625" bestFit="1" customWidth="1"/>
    <col min="90" max="90" width="17.54296875" bestFit="1" customWidth="1"/>
    <col min="91" max="91" width="13.81640625" bestFit="1" customWidth="1"/>
    <col min="92" max="92" width="16.6328125" bestFit="1" customWidth="1"/>
    <col min="93" max="93" width="16.08984375" bestFit="1" customWidth="1"/>
    <col min="94" max="94" width="18.90625" bestFit="1" customWidth="1"/>
    <col min="95" max="95" width="14.7265625" bestFit="1" customWidth="1"/>
    <col min="96" max="96" width="17.54296875" bestFit="1" customWidth="1"/>
    <col min="97" max="97" width="15.81640625" bestFit="1" customWidth="1"/>
    <col min="98" max="98" width="18.6328125" bestFit="1" customWidth="1"/>
    <col min="99" max="99" width="17.81640625" bestFit="1" customWidth="1"/>
    <col min="100" max="100" width="20.6328125" bestFit="1" customWidth="1"/>
    <col min="101" max="101" width="14" bestFit="1" customWidth="1"/>
    <col min="102" max="102" width="16.81640625" bestFit="1" customWidth="1"/>
    <col min="103" max="103" width="15.6328125" bestFit="1" customWidth="1"/>
    <col min="104" max="104" width="18.453125" bestFit="1" customWidth="1"/>
    <col min="105" max="105" width="14.1796875" bestFit="1" customWidth="1"/>
    <col min="106" max="106" width="17.08984375" bestFit="1" customWidth="1"/>
    <col min="107" max="107" width="14.08984375" bestFit="1" customWidth="1"/>
    <col min="108" max="108" width="17" bestFit="1" customWidth="1"/>
    <col min="109" max="109" width="17.36328125" bestFit="1" customWidth="1"/>
    <col min="110" max="110" width="20.1796875" bestFit="1" customWidth="1"/>
    <col min="111" max="111" width="15.54296875" bestFit="1" customWidth="1"/>
    <col min="112" max="112" width="18.36328125" bestFit="1" customWidth="1"/>
    <col min="113" max="113" width="12.54296875" bestFit="1" customWidth="1"/>
    <col min="114" max="114" width="15.36328125" bestFit="1" customWidth="1"/>
    <col min="115" max="115" width="13.1796875" bestFit="1" customWidth="1"/>
    <col min="116" max="116" width="16" bestFit="1" customWidth="1"/>
    <col min="117" max="117" width="10.36328125" bestFit="1" customWidth="1"/>
  </cols>
  <sheetData>
    <row r="2" spans="1:14" x14ac:dyDescent="0.35">
      <c r="G2" t="s">
        <v>2537</v>
      </c>
      <c r="L2" t="s">
        <v>2538</v>
      </c>
    </row>
    <row r="3" spans="1:14" x14ac:dyDescent="0.35">
      <c r="A3" s="6" t="s">
        <v>10</v>
      </c>
      <c r="B3" s="6" t="s">
        <v>11</v>
      </c>
      <c r="C3" t="s">
        <v>2520</v>
      </c>
      <c r="D3" t="s">
        <v>2521</v>
      </c>
      <c r="G3" s="11" t="s">
        <v>19</v>
      </c>
      <c r="H3" t="s">
        <v>115</v>
      </c>
      <c r="I3">
        <v>579</v>
      </c>
      <c r="L3" s="11" t="s">
        <v>19</v>
      </c>
      <c r="M3" t="s">
        <v>115</v>
      </c>
      <c r="N3">
        <v>31884.999999999996</v>
      </c>
    </row>
    <row r="4" spans="1:14" x14ac:dyDescent="0.35">
      <c r="A4" t="s">
        <v>19</v>
      </c>
      <c r="B4" t="s">
        <v>115</v>
      </c>
      <c r="C4">
        <v>91</v>
      </c>
      <c r="D4">
        <v>4468.4000000000005</v>
      </c>
      <c r="G4" s="11" t="s">
        <v>19</v>
      </c>
      <c r="H4" t="s">
        <v>20</v>
      </c>
      <c r="I4">
        <v>1</v>
      </c>
      <c r="L4" s="11" t="s">
        <v>19</v>
      </c>
      <c r="M4" t="s">
        <v>20</v>
      </c>
      <c r="N4">
        <v>10.9</v>
      </c>
    </row>
    <row r="5" spans="1:14" x14ac:dyDescent="0.35">
      <c r="A5" t="s">
        <v>19</v>
      </c>
      <c r="B5" t="s">
        <v>24</v>
      </c>
      <c r="C5">
        <v>31</v>
      </c>
      <c r="D5">
        <v>1141.1999999999998</v>
      </c>
      <c r="G5" s="11" t="s">
        <v>19</v>
      </c>
      <c r="H5" t="s">
        <v>641</v>
      </c>
      <c r="I5">
        <v>9</v>
      </c>
      <c r="L5" s="11" t="s">
        <v>19</v>
      </c>
      <c r="M5" t="s">
        <v>641</v>
      </c>
      <c r="N5">
        <v>800.3</v>
      </c>
    </row>
    <row r="6" spans="1:14" x14ac:dyDescent="0.35">
      <c r="A6" t="s">
        <v>19</v>
      </c>
      <c r="B6" t="s">
        <v>437</v>
      </c>
      <c r="C6">
        <v>1</v>
      </c>
      <c r="D6">
        <v>20.6</v>
      </c>
      <c r="G6" s="11" t="s">
        <v>19</v>
      </c>
      <c r="H6" t="s">
        <v>967</v>
      </c>
      <c r="I6">
        <v>35</v>
      </c>
      <c r="L6" s="11" t="s">
        <v>19</v>
      </c>
      <c r="M6" t="s">
        <v>967</v>
      </c>
      <c r="N6">
        <v>1062.5999999999999</v>
      </c>
    </row>
    <row r="7" spans="1:14" x14ac:dyDescent="0.35">
      <c r="A7" t="s">
        <v>19</v>
      </c>
      <c r="B7" t="s">
        <v>28</v>
      </c>
      <c r="C7">
        <v>50</v>
      </c>
      <c r="D7">
        <v>1801.3999999999999</v>
      </c>
      <c r="G7" s="11" t="s">
        <v>19</v>
      </c>
      <c r="H7" t="s">
        <v>84</v>
      </c>
      <c r="I7">
        <v>12</v>
      </c>
      <c r="L7" s="11" t="s">
        <v>19</v>
      </c>
      <c r="M7" t="s">
        <v>84</v>
      </c>
      <c r="N7">
        <v>326.20000000000005</v>
      </c>
    </row>
    <row r="8" spans="1:14" x14ac:dyDescent="0.35">
      <c r="A8" t="s">
        <v>19</v>
      </c>
      <c r="B8" t="s">
        <v>208</v>
      </c>
      <c r="C8">
        <v>4</v>
      </c>
      <c r="D8">
        <v>178.2</v>
      </c>
      <c r="G8" s="11" t="s">
        <v>19</v>
      </c>
      <c r="H8" t="s">
        <v>1383</v>
      </c>
      <c r="I8">
        <v>4</v>
      </c>
      <c r="L8" s="11" t="s">
        <v>19</v>
      </c>
      <c r="M8" t="s">
        <v>1383</v>
      </c>
      <c r="N8">
        <v>167.5</v>
      </c>
    </row>
    <row r="9" spans="1:14" x14ac:dyDescent="0.35">
      <c r="A9" t="s">
        <v>19</v>
      </c>
      <c r="B9" t="s">
        <v>587</v>
      </c>
      <c r="C9">
        <v>8</v>
      </c>
      <c r="D9">
        <v>509.79999999999995</v>
      </c>
      <c r="G9" s="11" t="s">
        <v>19</v>
      </c>
      <c r="H9" t="s">
        <v>24</v>
      </c>
      <c r="I9">
        <v>341</v>
      </c>
      <c r="L9" s="11" t="s">
        <v>19</v>
      </c>
      <c r="M9" t="s">
        <v>24</v>
      </c>
      <c r="N9">
        <v>16168.7</v>
      </c>
    </row>
    <row r="10" spans="1:14" x14ac:dyDescent="0.35">
      <c r="A10" t="s">
        <v>19</v>
      </c>
      <c r="B10" t="s">
        <v>147</v>
      </c>
      <c r="C10">
        <v>17</v>
      </c>
      <c r="D10">
        <v>576.30000000000007</v>
      </c>
      <c r="G10" s="11" t="s">
        <v>19</v>
      </c>
      <c r="H10" t="s">
        <v>2204</v>
      </c>
      <c r="I10">
        <v>13</v>
      </c>
      <c r="L10" s="11" t="s">
        <v>19</v>
      </c>
      <c r="M10" t="s">
        <v>2204</v>
      </c>
      <c r="N10">
        <v>322.40000000000003</v>
      </c>
    </row>
    <row r="11" spans="1:14" x14ac:dyDescent="0.35">
      <c r="A11" t="s">
        <v>19</v>
      </c>
      <c r="B11" t="s">
        <v>334</v>
      </c>
      <c r="C11">
        <v>5</v>
      </c>
      <c r="D11">
        <v>390.59999999999997</v>
      </c>
      <c r="G11" s="11" t="s">
        <v>19</v>
      </c>
      <c r="H11" t="s">
        <v>437</v>
      </c>
      <c r="I11">
        <v>31</v>
      </c>
      <c r="L11" s="11" t="s">
        <v>19</v>
      </c>
      <c r="M11" t="s">
        <v>437</v>
      </c>
      <c r="N11">
        <v>2092.8000000000002</v>
      </c>
    </row>
    <row r="12" spans="1:14" x14ac:dyDescent="0.35">
      <c r="A12" t="s">
        <v>19</v>
      </c>
      <c r="B12" t="s">
        <v>33</v>
      </c>
      <c r="C12">
        <v>553</v>
      </c>
      <c r="D12">
        <v>31020.30000000001</v>
      </c>
      <c r="G12" s="11" t="s">
        <v>19</v>
      </c>
      <c r="H12" t="s">
        <v>28</v>
      </c>
      <c r="I12">
        <v>279</v>
      </c>
      <c r="L12" s="11" t="s">
        <v>19</v>
      </c>
      <c r="M12" t="s">
        <v>28</v>
      </c>
      <c r="N12">
        <v>12662.500000000002</v>
      </c>
    </row>
    <row r="13" spans="1:14" x14ac:dyDescent="0.35">
      <c r="A13" t="s">
        <v>19</v>
      </c>
      <c r="B13" t="s">
        <v>364</v>
      </c>
      <c r="C13">
        <v>2</v>
      </c>
      <c r="D13">
        <v>149.6</v>
      </c>
      <c r="G13" s="11" t="s">
        <v>19</v>
      </c>
      <c r="H13" t="s">
        <v>208</v>
      </c>
      <c r="I13">
        <v>9</v>
      </c>
      <c r="L13" s="11" t="s">
        <v>19</v>
      </c>
      <c r="M13" t="s">
        <v>208</v>
      </c>
      <c r="N13">
        <v>343.2</v>
      </c>
    </row>
    <row r="14" spans="1:14" x14ac:dyDescent="0.35">
      <c r="A14" t="s">
        <v>19</v>
      </c>
      <c r="B14" t="s">
        <v>545</v>
      </c>
      <c r="C14">
        <v>2</v>
      </c>
      <c r="D14">
        <v>39.200000000000003</v>
      </c>
      <c r="G14" s="11" t="s">
        <v>19</v>
      </c>
      <c r="H14" t="s">
        <v>587</v>
      </c>
      <c r="I14">
        <v>49</v>
      </c>
      <c r="L14" s="11" t="s">
        <v>19</v>
      </c>
      <c r="M14" t="s">
        <v>587</v>
      </c>
      <c r="N14">
        <v>2188.2999999999997</v>
      </c>
    </row>
    <row r="15" spans="1:14" x14ac:dyDescent="0.35">
      <c r="A15" t="s">
        <v>19</v>
      </c>
      <c r="B15" t="s">
        <v>186</v>
      </c>
      <c r="C15">
        <v>18</v>
      </c>
      <c r="D15">
        <v>1075.1999999999998</v>
      </c>
      <c r="G15" s="11" t="s">
        <v>19</v>
      </c>
      <c r="H15" t="s">
        <v>331</v>
      </c>
      <c r="I15">
        <v>59</v>
      </c>
      <c r="L15" s="11" t="s">
        <v>19</v>
      </c>
      <c r="M15" t="s">
        <v>331</v>
      </c>
      <c r="N15">
        <v>2661.5999999999995</v>
      </c>
    </row>
    <row r="16" spans="1:14" x14ac:dyDescent="0.35">
      <c r="A16" t="s">
        <v>19</v>
      </c>
      <c r="B16" t="s">
        <v>392</v>
      </c>
      <c r="C16">
        <v>2</v>
      </c>
      <c r="D16">
        <v>28.4</v>
      </c>
      <c r="G16" s="11" t="s">
        <v>19</v>
      </c>
      <c r="H16" t="s">
        <v>86</v>
      </c>
      <c r="I16">
        <v>8</v>
      </c>
      <c r="L16" s="11" t="s">
        <v>19</v>
      </c>
      <c r="M16" t="s">
        <v>86</v>
      </c>
      <c r="N16">
        <v>887.5</v>
      </c>
    </row>
    <row r="17" spans="1:14" x14ac:dyDescent="0.35">
      <c r="A17" t="s">
        <v>19</v>
      </c>
      <c r="B17" t="s">
        <v>670</v>
      </c>
      <c r="C17">
        <v>4</v>
      </c>
      <c r="D17">
        <v>204.8</v>
      </c>
      <c r="G17" s="11" t="s">
        <v>19</v>
      </c>
      <c r="H17" t="s">
        <v>147</v>
      </c>
      <c r="I17">
        <v>222</v>
      </c>
      <c r="L17" s="11" t="s">
        <v>19</v>
      </c>
      <c r="M17" t="s">
        <v>147</v>
      </c>
      <c r="N17">
        <v>11354.199999999993</v>
      </c>
    </row>
    <row r="18" spans="1:14" x14ac:dyDescent="0.35">
      <c r="A18" t="s">
        <v>19</v>
      </c>
      <c r="B18" t="s">
        <v>802</v>
      </c>
      <c r="C18">
        <v>27</v>
      </c>
      <c r="D18">
        <v>1479</v>
      </c>
      <c r="G18" s="11" t="s">
        <v>19</v>
      </c>
      <c r="H18" t="s">
        <v>334</v>
      </c>
      <c r="I18">
        <v>36</v>
      </c>
      <c r="L18" s="11" t="s">
        <v>19</v>
      </c>
      <c r="M18" t="s">
        <v>334</v>
      </c>
      <c r="N18">
        <v>1558.4</v>
      </c>
    </row>
    <row r="19" spans="1:14" x14ac:dyDescent="0.35">
      <c r="A19" t="s">
        <v>19</v>
      </c>
      <c r="B19" t="s">
        <v>188</v>
      </c>
      <c r="C19">
        <v>17</v>
      </c>
      <c r="D19">
        <v>901.7</v>
      </c>
      <c r="G19" s="11" t="s">
        <v>19</v>
      </c>
      <c r="H19" t="s">
        <v>949</v>
      </c>
      <c r="I19">
        <v>30</v>
      </c>
      <c r="L19" s="11" t="s">
        <v>19</v>
      </c>
      <c r="M19" t="s">
        <v>949</v>
      </c>
      <c r="N19">
        <v>2223.9</v>
      </c>
    </row>
    <row r="20" spans="1:14" x14ac:dyDescent="0.35">
      <c r="A20" t="s">
        <v>19</v>
      </c>
      <c r="B20" t="s">
        <v>52</v>
      </c>
      <c r="C20">
        <v>39</v>
      </c>
      <c r="D20">
        <v>2908.4</v>
      </c>
      <c r="G20" s="11" t="s">
        <v>19</v>
      </c>
      <c r="H20" t="s">
        <v>1426</v>
      </c>
      <c r="I20">
        <v>1</v>
      </c>
      <c r="L20" s="11" t="s">
        <v>19</v>
      </c>
      <c r="M20" t="s">
        <v>1426</v>
      </c>
      <c r="N20">
        <v>26.2</v>
      </c>
    </row>
    <row r="21" spans="1:14" x14ac:dyDescent="0.35">
      <c r="A21" t="s">
        <v>19</v>
      </c>
      <c r="B21" t="s">
        <v>158</v>
      </c>
      <c r="C21">
        <v>2</v>
      </c>
      <c r="D21">
        <v>22.6</v>
      </c>
      <c r="G21" s="11" t="s">
        <v>19</v>
      </c>
      <c r="H21" t="s">
        <v>33</v>
      </c>
      <c r="I21">
        <v>3991</v>
      </c>
      <c r="L21" s="11" t="s">
        <v>19</v>
      </c>
      <c r="M21" t="s">
        <v>33</v>
      </c>
      <c r="N21">
        <v>215551.19999999981</v>
      </c>
    </row>
    <row r="22" spans="1:14" x14ac:dyDescent="0.35">
      <c r="A22" t="s">
        <v>19</v>
      </c>
      <c r="B22" t="s">
        <v>55</v>
      </c>
      <c r="C22">
        <v>34</v>
      </c>
      <c r="D22">
        <v>1756.7000000000003</v>
      </c>
      <c r="G22" s="11" t="s">
        <v>19</v>
      </c>
      <c r="H22" t="s">
        <v>364</v>
      </c>
      <c r="I22">
        <v>45</v>
      </c>
      <c r="L22" s="11" t="s">
        <v>19</v>
      </c>
      <c r="M22" t="s">
        <v>364</v>
      </c>
      <c r="N22">
        <v>2687.3999999999996</v>
      </c>
    </row>
    <row r="23" spans="1:14" x14ac:dyDescent="0.35">
      <c r="A23" t="s">
        <v>19</v>
      </c>
      <c r="B23" t="s">
        <v>342</v>
      </c>
      <c r="C23">
        <v>5</v>
      </c>
      <c r="D23">
        <v>268.79999999999995</v>
      </c>
      <c r="G23" s="11" t="s">
        <v>19</v>
      </c>
      <c r="H23" t="s">
        <v>545</v>
      </c>
      <c r="I23">
        <v>39</v>
      </c>
      <c r="L23" s="11" t="s">
        <v>19</v>
      </c>
      <c r="M23" t="s">
        <v>545</v>
      </c>
      <c r="N23">
        <v>1463.3000000000002</v>
      </c>
    </row>
    <row r="24" spans="1:14" x14ac:dyDescent="0.35">
      <c r="A24" t="s">
        <v>19</v>
      </c>
      <c r="B24" t="s">
        <v>59</v>
      </c>
      <c r="C24">
        <v>16</v>
      </c>
      <c r="D24">
        <v>838.8</v>
      </c>
      <c r="G24" s="11" t="s">
        <v>19</v>
      </c>
      <c r="H24" t="s">
        <v>416</v>
      </c>
      <c r="I24">
        <v>6</v>
      </c>
      <c r="L24" s="11" t="s">
        <v>19</v>
      </c>
      <c r="M24" t="s">
        <v>416</v>
      </c>
      <c r="N24">
        <v>445.79999999999995</v>
      </c>
    </row>
    <row r="25" spans="1:14" x14ac:dyDescent="0.35">
      <c r="A25" t="s">
        <v>19</v>
      </c>
      <c r="B25" t="s">
        <v>62</v>
      </c>
      <c r="C25">
        <v>197</v>
      </c>
      <c r="D25">
        <v>10661.900000000003</v>
      </c>
      <c r="G25" s="11" t="s">
        <v>19</v>
      </c>
      <c r="H25" t="s">
        <v>258</v>
      </c>
      <c r="I25">
        <v>9</v>
      </c>
      <c r="L25" s="11" t="s">
        <v>19</v>
      </c>
      <c r="M25" t="s">
        <v>258</v>
      </c>
      <c r="N25">
        <v>273.59999999999997</v>
      </c>
    </row>
    <row r="26" spans="1:14" x14ac:dyDescent="0.35">
      <c r="A26" t="s">
        <v>19</v>
      </c>
      <c r="B26" t="s">
        <v>103</v>
      </c>
      <c r="C26">
        <v>38</v>
      </c>
      <c r="D26">
        <v>1934.6000000000001</v>
      </c>
      <c r="G26" s="11" t="s">
        <v>19</v>
      </c>
      <c r="H26" t="s">
        <v>186</v>
      </c>
      <c r="I26">
        <v>60</v>
      </c>
      <c r="L26" s="11" t="s">
        <v>19</v>
      </c>
      <c r="M26" t="s">
        <v>186</v>
      </c>
      <c r="N26">
        <v>2690.4</v>
      </c>
    </row>
    <row r="27" spans="1:14" x14ac:dyDescent="0.35">
      <c r="A27" t="s">
        <v>19</v>
      </c>
      <c r="B27" t="s">
        <v>72</v>
      </c>
      <c r="C27">
        <v>19</v>
      </c>
      <c r="D27">
        <v>1146.3000000000002</v>
      </c>
      <c r="G27" s="11" t="s">
        <v>19</v>
      </c>
      <c r="H27" t="s">
        <v>392</v>
      </c>
      <c r="I27">
        <v>2</v>
      </c>
      <c r="L27" s="11" t="s">
        <v>19</v>
      </c>
      <c r="M27" t="s">
        <v>392</v>
      </c>
      <c r="N27">
        <v>28.4</v>
      </c>
    </row>
    <row r="28" spans="1:14" x14ac:dyDescent="0.35">
      <c r="A28" t="s">
        <v>19</v>
      </c>
      <c r="B28" t="s">
        <v>74</v>
      </c>
      <c r="C28">
        <v>4</v>
      </c>
      <c r="D28">
        <v>186.2</v>
      </c>
      <c r="G28" s="11" t="s">
        <v>19</v>
      </c>
      <c r="H28" t="s">
        <v>670</v>
      </c>
      <c r="I28">
        <v>4</v>
      </c>
      <c r="L28" s="11" t="s">
        <v>19</v>
      </c>
      <c r="M28" t="s">
        <v>670</v>
      </c>
      <c r="N28">
        <v>204.8</v>
      </c>
    </row>
    <row r="29" spans="1:14" x14ac:dyDescent="0.35">
      <c r="A29" t="s">
        <v>19</v>
      </c>
      <c r="B29" t="s">
        <v>77</v>
      </c>
      <c r="C29">
        <v>97</v>
      </c>
      <c r="D29">
        <v>4578.2</v>
      </c>
      <c r="G29" s="11" t="s">
        <v>19</v>
      </c>
      <c r="H29" t="s">
        <v>802</v>
      </c>
      <c r="I29">
        <v>31</v>
      </c>
      <c r="L29" s="11" t="s">
        <v>19</v>
      </c>
      <c r="M29" t="s">
        <v>802</v>
      </c>
      <c r="N29">
        <v>1607.8999999999999</v>
      </c>
    </row>
    <row r="30" spans="1:14" x14ac:dyDescent="0.35">
      <c r="A30" t="s">
        <v>19</v>
      </c>
      <c r="B30" t="s">
        <v>309</v>
      </c>
      <c r="C30">
        <v>2</v>
      </c>
      <c r="D30">
        <v>32.200000000000003</v>
      </c>
      <c r="G30" s="11" t="s">
        <v>19</v>
      </c>
      <c r="H30" t="s">
        <v>98</v>
      </c>
      <c r="I30">
        <v>88</v>
      </c>
      <c r="L30" s="11" t="s">
        <v>19</v>
      </c>
      <c r="M30" t="s">
        <v>98</v>
      </c>
      <c r="N30">
        <v>6444.9</v>
      </c>
    </row>
    <row r="31" spans="1:14" x14ac:dyDescent="0.35">
      <c r="A31" t="s">
        <v>19</v>
      </c>
      <c r="B31" t="s">
        <v>700</v>
      </c>
      <c r="C31">
        <v>2</v>
      </c>
      <c r="D31">
        <v>30.8</v>
      </c>
      <c r="G31" s="11" t="s">
        <v>19</v>
      </c>
      <c r="H31" t="s">
        <v>49</v>
      </c>
      <c r="I31">
        <v>25</v>
      </c>
      <c r="L31" s="11" t="s">
        <v>19</v>
      </c>
      <c r="M31" t="s">
        <v>49</v>
      </c>
      <c r="N31">
        <v>1809.3</v>
      </c>
    </row>
    <row r="32" spans="1:14" x14ac:dyDescent="0.35">
      <c r="A32" t="s">
        <v>19</v>
      </c>
      <c r="B32" t="s">
        <v>108</v>
      </c>
      <c r="C32">
        <v>40</v>
      </c>
      <c r="D32">
        <v>1209.7</v>
      </c>
      <c r="G32" s="11" t="s">
        <v>19</v>
      </c>
      <c r="H32" t="s">
        <v>188</v>
      </c>
      <c r="I32">
        <v>178</v>
      </c>
      <c r="L32" s="11" t="s">
        <v>19</v>
      </c>
      <c r="M32" t="s">
        <v>188</v>
      </c>
      <c r="N32">
        <v>9680.399999999996</v>
      </c>
    </row>
    <row r="33" spans="1:14" x14ac:dyDescent="0.35">
      <c r="A33" t="s">
        <v>19</v>
      </c>
      <c r="B33" t="s">
        <v>110</v>
      </c>
      <c r="C33">
        <v>36</v>
      </c>
      <c r="D33">
        <v>1583.5</v>
      </c>
      <c r="G33" s="11" t="s">
        <v>19</v>
      </c>
      <c r="H33" t="s">
        <v>52</v>
      </c>
      <c r="I33">
        <v>141</v>
      </c>
      <c r="L33" s="11" t="s">
        <v>19</v>
      </c>
      <c r="M33" t="s">
        <v>52</v>
      </c>
      <c r="N33">
        <v>9414.7999999999993</v>
      </c>
    </row>
    <row r="34" spans="1:14" x14ac:dyDescent="0.35">
      <c r="A34" t="s">
        <v>19</v>
      </c>
      <c r="B34" t="s">
        <v>292</v>
      </c>
      <c r="C34">
        <v>10</v>
      </c>
      <c r="D34">
        <v>565.90000000000009</v>
      </c>
      <c r="G34" s="11" t="s">
        <v>19</v>
      </c>
      <c r="H34" t="s">
        <v>338</v>
      </c>
      <c r="I34">
        <v>6</v>
      </c>
      <c r="L34" s="11" t="s">
        <v>19</v>
      </c>
      <c r="M34" t="s">
        <v>338</v>
      </c>
      <c r="N34">
        <v>206.1</v>
      </c>
    </row>
    <row r="35" spans="1:14" x14ac:dyDescent="0.35">
      <c r="A35" t="s">
        <v>19</v>
      </c>
      <c r="B35" t="s">
        <v>113</v>
      </c>
      <c r="C35">
        <v>10</v>
      </c>
      <c r="D35">
        <v>450.79999999999995</v>
      </c>
      <c r="G35" s="11" t="s">
        <v>19</v>
      </c>
      <c r="H35" t="s">
        <v>158</v>
      </c>
      <c r="I35">
        <v>178</v>
      </c>
      <c r="L35" s="11" t="s">
        <v>19</v>
      </c>
      <c r="M35" t="s">
        <v>158</v>
      </c>
      <c r="N35">
        <v>7691.3</v>
      </c>
    </row>
    <row r="36" spans="1:14" x14ac:dyDescent="0.35">
      <c r="A36" t="s">
        <v>19</v>
      </c>
      <c r="B36" t="s">
        <v>82</v>
      </c>
      <c r="C36">
        <v>28</v>
      </c>
      <c r="D36">
        <v>849.7</v>
      </c>
      <c r="G36" s="11" t="s">
        <v>19</v>
      </c>
      <c r="H36" t="s">
        <v>55</v>
      </c>
      <c r="I36">
        <v>699</v>
      </c>
      <c r="L36" s="11" t="s">
        <v>19</v>
      </c>
      <c r="M36" t="s">
        <v>55</v>
      </c>
      <c r="N36">
        <v>37784.900000000016</v>
      </c>
    </row>
    <row r="37" spans="1:14" x14ac:dyDescent="0.35">
      <c r="A37" t="s">
        <v>19</v>
      </c>
      <c r="B37" t="s">
        <v>243</v>
      </c>
      <c r="C37">
        <v>4</v>
      </c>
      <c r="D37">
        <v>116.4</v>
      </c>
      <c r="G37" s="11" t="s">
        <v>19</v>
      </c>
      <c r="H37" t="s">
        <v>342</v>
      </c>
      <c r="I37">
        <v>23</v>
      </c>
      <c r="L37" s="11" t="s">
        <v>19</v>
      </c>
      <c r="M37" t="s">
        <v>342</v>
      </c>
      <c r="N37">
        <v>1129.7</v>
      </c>
    </row>
    <row r="38" spans="1:14" x14ac:dyDescent="0.35">
      <c r="G38" s="11" t="s">
        <v>19</v>
      </c>
      <c r="H38" t="s">
        <v>59</v>
      </c>
      <c r="I38">
        <v>356</v>
      </c>
      <c r="L38" s="11" t="s">
        <v>19</v>
      </c>
      <c r="M38" t="s">
        <v>59</v>
      </c>
      <c r="N38">
        <v>20988.9</v>
      </c>
    </row>
    <row r="39" spans="1:14" x14ac:dyDescent="0.35">
      <c r="G39" s="11" t="s">
        <v>19</v>
      </c>
      <c r="H39" t="s">
        <v>62</v>
      </c>
      <c r="I39">
        <v>1768</v>
      </c>
      <c r="L39" s="11" t="s">
        <v>19</v>
      </c>
      <c r="M39" t="s">
        <v>62</v>
      </c>
      <c r="N39">
        <v>98367.099999999977</v>
      </c>
    </row>
    <row r="40" spans="1:14" x14ac:dyDescent="0.35">
      <c r="G40" s="11" t="s">
        <v>19</v>
      </c>
      <c r="H40" t="s">
        <v>103</v>
      </c>
      <c r="I40">
        <v>307</v>
      </c>
      <c r="L40" s="11" t="s">
        <v>19</v>
      </c>
      <c r="M40" t="s">
        <v>103</v>
      </c>
      <c r="N40">
        <v>21911.9</v>
      </c>
    </row>
    <row r="41" spans="1:14" x14ac:dyDescent="0.35">
      <c r="G41" s="11" t="s">
        <v>19</v>
      </c>
      <c r="H41" t="s">
        <v>201</v>
      </c>
      <c r="I41">
        <v>117</v>
      </c>
      <c r="L41" s="11" t="s">
        <v>19</v>
      </c>
      <c r="M41" t="s">
        <v>201</v>
      </c>
      <c r="N41">
        <v>5441.2</v>
      </c>
    </row>
    <row r="42" spans="1:14" x14ac:dyDescent="0.35">
      <c r="G42" s="11" t="s">
        <v>19</v>
      </c>
      <c r="H42" t="s">
        <v>429</v>
      </c>
      <c r="I42">
        <v>13</v>
      </c>
      <c r="L42" s="11" t="s">
        <v>19</v>
      </c>
      <c r="M42" t="s">
        <v>429</v>
      </c>
      <c r="N42">
        <v>392.8</v>
      </c>
    </row>
    <row r="43" spans="1:14" x14ac:dyDescent="0.35">
      <c r="G43" s="11" t="s">
        <v>19</v>
      </c>
      <c r="H43" t="s">
        <v>72</v>
      </c>
      <c r="I43">
        <v>364</v>
      </c>
      <c r="L43" s="11" t="s">
        <v>19</v>
      </c>
      <c r="M43" t="s">
        <v>72</v>
      </c>
      <c r="N43">
        <v>16172.000000000005</v>
      </c>
    </row>
    <row r="44" spans="1:14" x14ac:dyDescent="0.35">
      <c r="G44" s="11" t="s">
        <v>19</v>
      </c>
      <c r="H44" t="s">
        <v>74</v>
      </c>
      <c r="I44">
        <v>95</v>
      </c>
      <c r="L44" s="11" t="s">
        <v>19</v>
      </c>
      <c r="M44" t="s">
        <v>74</v>
      </c>
      <c r="N44">
        <v>4334.9999999999991</v>
      </c>
    </row>
    <row r="45" spans="1:14" x14ac:dyDescent="0.35">
      <c r="G45" s="11" t="s">
        <v>19</v>
      </c>
      <c r="H45" t="s">
        <v>77</v>
      </c>
      <c r="I45">
        <v>737</v>
      </c>
      <c r="L45" s="11" t="s">
        <v>19</v>
      </c>
      <c r="M45" t="s">
        <v>77</v>
      </c>
      <c r="N45">
        <v>37449.000000000007</v>
      </c>
    </row>
    <row r="46" spans="1:14" x14ac:dyDescent="0.35">
      <c r="G46" s="11" t="s">
        <v>19</v>
      </c>
      <c r="H46" t="s">
        <v>309</v>
      </c>
      <c r="I46">
        <v>39</v>
      </c>
      <c r="L46" s="11" t="s">
        <v>19</v>
      </c>
      <c r="M46" t="s">
        <v>309</v>
      </c>
      <c r="N46">
        <v>2447.5</v>
      </c>
    </row>
    <row r="47" spans="1:14" x14ac:dyDescent="0.35">
      <c r="G47" s="11" t="s">
        <v>19</v>
      </c>
      <c r="H47" t="s">
        <v>1116</v>
      </c>
      <c r="I47">
        <v>56</v>
      </c>
      <c r="L47" s="11" t="s">
        <v>19</v>
      </c>
      <c r="M47" t="s">
        <v>1116</v>
      </c>
      <c r="N47">
        <v>3391.1</v>
      </c>
    </row>
    <row r="48" spans="1:14" x14ac:dyDescent="0.35">
      <c r="G48" s="11" t="s">
        <v>19</v>
      </c>
      <c r="H48" t="s">
        <v>700</v>
      </c>
      <c r="I48">
        <v>2</v>
      </c>
      <c r="L48" s="11" t="s">
        <v>19</v>
      </c>
      <c r="M48" t="s">
        <v>700</v>
      </c>
      <c r="N48">
        <v>30.8</v>
      </c>
    </row>
    <row r="49" spans="7:14" x14ac:dyDescent="0.35">
      <c r="G49" s="11" t="s">
        <v>19</v>
      </c>
      <c r="H49" t="s">
        <v>268</v>
      </c>
      <c r="I49">
        <v>8</v>
      </c>
      <c r="L49" s="11" t="s">
        <v>19</v>
      </c>
      <c r="M49" t="s">
        <v>268</v>
      </c>
      <c r="N49">
        <v>332.3</v>
      </c>
    </row>
    <row r="50" spans="7:14" x14ac:dyDescent="0.35">
      <c r="G50" s="11" t="s">
        <v>19</v>
      </c>
      <c r="H50" t="s">
        <v>377</v>
      </c>
      <c r="I50">
        <v>52</v>
      </c>
      <c r="L50" s="11" t="s">
        <v>19</v>
      </c>
      <c r="M50" t="s">
        <v>377</v>
      </c>
      <c r="N50">
        <v>3175.9999999999995</v>
      </c>
    </row>
    <row r="51" spans="7:14" x14ac:dyDescent="0.35">
      <c r="G51" s="11" t="s">
        <v>19</v>
      </c>
      <c r="H51" t="s">
        <v>108</v>
      </c>
      <c r="I51">
        <v>295</v>
      </c>
      <c r="L51" s="11" t="s">
        <v>19</v>
      </c>
      <c r="M51" t="s">
        <v>108</v>
      </c>
      <c r="N51">
        <v>20939.600000000002</v>
      </c>
    </row>
    <row r="52" spans="7:14" x14ac:dyDescent="0.35">
      <c r="G52" s="11" t="s">
        <v>19</v>
      </c>
      <c r="H52" t="s">
        <v>110</v>
      </c>
      <c r="I52">
        <v>195</v>
      </c>
      <c r="L52" s="11" t="s">
        <v>19</v>
      </c>
      <c r="M52" t="s">
        <v>110</v>
      </c>
      <c r="N52">
        <v>10185.899999999996</v>
      </c>
    </row>
    <row r="53" spans="7:14" x14ac:dyDescent="0.35">
      <c r="G53" s="11" t="s">
        <v>19</v>
      </c>
      <c r="H53" t="s">
        <v>292</v>
      </c>
      <c r="I53">
        <v>20</v>
      </c>
      <c r="L53" s="11" t="s">
        <v>19</v>
      </c>
      <c r="M53" t="s">
        <v>292</v>
      </c>
      <c r="N53">
        <v>958.7</v>
      </c>
    </row>
    <row r="54" spans="7:14" x14ac:dyDescent="0.35">
      <c r="G54" s="11" t="s">
        <v>19</v>
      </c>
      <c r="H54" t="s">
        <v>79</v>
      </c>
      <c r="I54">
        <v>6</v>
      </c>
      <c r="L54" s="11" t="s">
        <v>19</v>
      </c>
      <c r="M54" t="s">
        <v>79</v>
      </c>
      <c r="N54">
        <v>323</v>
      </c>
    </row>
    <row r="55" spans="7:14" x14ac:dyDescent="0.35">
      <c r="G55" s="11" t="s">
        <v>19</v>
      </c>
      <c r="H55" t="s">
        <v>608</v>
      </c>
      <c r="I55">
        <v>5</v>
      </c>
      <c r="L55" s="11" t="s">
        <v>19</v>
      </c>
      <c r="M55" t="s">
        <v>608</v>
      </c>
      <c r="N55">
        <v>167.70000000000002</v>
      </c>
    </row>
    <row r="56" spans="7:14" x14ac:dyDescent="0.35">
      <c r="G56" s="11" t="s">
        <v>19</v>
      </c>
      <c r="H56" t="s">
        <v>113</v>
      </c>
      <c r="I56">
        <v>94</v>
      </c>
      <c r="L56" s="11" t="s">
        <v>19</v>
      </c>
      <c r="M56" t="s">
        <v>113</v>
      </c>
      <c r="N56">
        <v>3978.5</v>
      </c>
    </row>
    <row r="57" spans="7:14" x14ac:dyDescent="0.35">
      <c r="G57" s="11" t="s">
        <v>19</v>
      </c>
      <c r="H57" t="s">
        <v>997</v>
      </c>
      <c r="I57">
        <v>28</v>
      </c>
      <c r="L57" s="11" t="s">
        <v>19</v>
      </c>
      <c r="M57" t="s">
        <v>997</v>
      </c>
      <c r="N57">
        <v>1405</v>
      </c>
    </row>
    <row r="58" spans="7:14" x14ac:dyDescent="0.35">
      <c r="G58" s="11" t="s">
        <v>19</v>
      </c>
      <c r="H58" t="s">
        <v>82</v>
      </c>
      <c r="I58">
        <v>179</v>
      </c>
      <c r="L58" s="11" t="s">
        <v>19</v>
      </c>
      <c r="M58" t="s">
        <v>82</v>
      </c>
      <c r="N58">
        <v>9869.0999999999985</v>
      </c>
    </row>
    <row r="59" spans="7:14" x14ac:dyDescent="0.35">
      <c r="G59" s="11" t="s">
        <v>19</v>
      </c>
      <c r="H59" t="s">
        <v>243</v>
      </c>
      <c r="I59">
        <v>15</v>
      </c>
      <c r="L59" s="11" t="s">
        <v>19</v>
      </c>
      <c r="M59" t="s">
        <v>243</v>
      </c>
      <c r="N59">
        <v>615.29999999999995</v>
      </c>
    </row>
    <row r="60" spans="7:14" x14ac:dyDescent="0.35">
      <c r="G60" s="12" t="s">
        <v>19</v>
      </c>
      <c r="H60" t="s">
        <v>1911</v>
      </c>
      <c r="I60">
        <v>3</v>
      </c>
      <c r="L60" s="12" t="s">
        <v>19</v>
      </c>
      <c r="M60" t="s">
        <v>1911</v>
      </c>
      <c r="N60">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9555-5225-43E3-8D1F-0A6D75E6355D}">
  <dimension ref="A3:G8"/>
  <sheetViews>
    <sheetView zoomScale="80" zoomScaleNormal="80" workbookViewId="0">
      <selection activeCell="B6" sqref="B6"/>
    </sheetView>
  </sheetViews>
  <sheetFormatPr defaultRowHeight="14.5" x14ac:dyDescent="0.35"/>
  <cols>
    <col min="1" max="1" width="13.26953125" bestFit="1" customWidth="1"/>
    <col min="2" max="2" width="16.453125" bestFit="1" customWidth="1"/>
    <col min="3" max="4" width="3.08984375" bestFit="1" customWidth="1"/>
    <col min="5" max="5" width="4.08984375" bestFit="1" customWidth="1"/>
    <col min="6" max="6" width="3.08984375" bestFit="1" customWidth="1"/>
    <col min="7" max="7" width="10.81640625" bestFit="1" customWidth="1"/>
    <col min="8" max="10" width="7.81640625" bestFit="1" customWidth="1"/>
    <col min="11" max="32" width="8.81640625" bestFit="1" customWidth="1"/>
    <col min="33" max="41" width="8.1796875" bestFit="1" customWidth="1"/>
    <col min="42" max="60" width="9.1796875" bestFit="1" customWidth="1"/>
    <col min="61" max="69" width="8.1796875" bestFit="1" customWidth="1"/>
    <col min="70" max="89" width="9.1796875" bestFit="1" customWidth="1"/>
    <col min="90" max="90" width="10.36328125" bestFit="1" customWidth="1"/>
    <col min="91" max="2401" width="8.81640625" bestFit="1" customWidth="1"/>
    <col min="2402" max="2402" width="10.36328125" bestFit="1" customWidth="1"/>
  </cols>
  <sheetData>
    <row r="3" spans="1:7" x14ac:dyDescent="0.35">
      <c r="A3" s="6" t="s">
        <v>2519</v>
      </c>
      <c r="B3" s="6" t="s">
        <v>2529</v>
      </c>
    </row>
    <row r="4" spans="1:7" x14ac:dyDescent="0.35">
      <c r="A4" s="6" t="s">
        <v>2527</v>
      </c>
      <c r="B4">
        <v>1</v>
      </c>
      <c r="C4">
        <v>2</v>
      </c>
      <c r="D4">
        <v>3</v>
      </c>
      <c r="E4">
        <v>4</v>
      </c>
      <c r="F4">
        <v>5</v>
      </c>
      <c r="G4" t="s">
        <v>2528</v>
      </c>
    </row>
    <row r="5" spans="1:7" x14ac:dyDescent="0.35">
      <c r="A5" s="7" t="s">
        <v>2539</v>
      </c>
      <c r="B5">
        <v>2</v>
      </c>
      <c r="C5">
        <v>2</v>
      </c>
      <c r="D5">
        <v>13</v>
      </c>
      <c r="E5">
        <v>42</v>
      </c>
      <c r="F5">
        <v>24</v>
      </c>
      <c r="G5">
        <v>83</v>
      </c>
    </row>
    <row r="6" spans="1:7" x14ac:dyDescent="0.35">
      <c r="A6" s="7" t="s">
        <v>2540</v>
      </c>
      <c r="B6">
        <v>1</v>
      </c>
      <c r="C6">
        <v>4</v>
      </c>
      <c r="D6">
        <v>14</v>
      </c>
      <c r="E6">
        <v>36</v>
      </c>
      <c r="F6">
        <v>37</v>
      </c>
      <c r="G6">
        <v>92</v>
      </c>
    </row>
    <row r="7" spans="1:7" x14ac:dyDescent="0.35">
      <c r="A7" s="7" t="s">
        <v>2541</v>
      </c>
      <c r="B7">
        <v>2</v>
      </c>
      <c r="C7">
        <v>5</v>
      </c>
      <c r="D7">
        <v>13</v>
      </c>
      <c r="E7">
        <v>31</v>
      </c>
      <c r="F7">
        <v>22</v>
      </c>
      <c r="G7">
        <v>73</v>
      </c>
    </row>
    <row r="8" spans="1:7" x14ac:dyDescent="0.35">
      <c r="A8" s="7" t="s">
        <v>2528</v>
      </c>
      <c r="B8">
        <v>5</v>
      </c>
      <c r="C8">
        <v>11</v>
      </c>
      <c r="D8">
        <v>40</v>
      </c>
      <c r="E8">
        <v>109</v>
      </c>
      <c r="F8">
        <v>83</v>
      </c>
      <c r="G8">
        <v>248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5AB6E-B931-4E74-9BF5-B3A860841F2F}">
  <dimension ref="A3:B15"/>
  <sheetViews>
    <sheetView workbookViewId="0">
      <selection activeCell="B8" sqref="B8"/>
    </sheetView>
  </sheetViews>
  <sheetFormatPr defaultRowHeight="14.5" x14ac:dyDescent="0.35"/>
  <cols>
    <col min="1" max="2" width="12.453125" bestFit="1" customWidth="1"/>
  </cols>
  <sheetData>
    <row r="3" spans="1:2" x14ac:dyDescent="0.35">
      <c r="A3" s="6" t="s">
        <v>2527</v>
      </c>
      <c r="B3" t="s">
        <v>2519</v>
      </c>
    </row>
    <row r="4" spans="1:2" x14ac:dyDescent="0.35">
      <c r="A4" s="7">
        <v>0</v>
      </c>
      <c r="B4">
        <v>17</v>
      </c>
    </row>
    <row r="5" spans="1:2" x14ac:dyDescent="0.35">
      <c r="A5" s="7">
        <v>1</v>
      </c>
      <c r="B5">
        <v>86</v>
      </c>
    </row>
    <row r="6" spans="1:2" x14ac:dyDescent="0.35">
      <c r="A6" s="7">
        <v>2</v>
      </c>
      <c r="B6">
        <v>50</v>
      </c>
    </row>
    <row r="7" spans="1:2" x14ac:dyDescent="0.35">
      <c r="A7" s="7">
        <v>3</v>
      </c>
      <c r="B7">
        <v>37</v>
      </c>
    </row>
    <row r="8" spans="1:2" x14ac:dyDescent="0.35">
      <c r="A8" s="7">
        <v>4</v>
      </c>
      <c r="B8">
        <v>28</v>
      </c>
    </row>
    <row r="9" spans="1:2" x14ac:dyDescent="0.35">
      <c r="A9" s="7">
        <v>5</v>
      </c>
      <c r="B9">
        <v>12</v>
      </c>
    </row>
    <row r="10" spans="1:2" x14ac:dyDescent="0.35">
      <c r="A10" s="7">
        <v>6</v>
      </c>
      <c r="B10">
        <v>11</v>
      </c>
    </row>
    <row r="11" spans="1:2" x14ac:dyDescent="0.35">
      <c r="A11" s="7">
        <v>7</v>
      </c>
      <c r="B11">
        <v>2</v>
      </c>
    </row>
    <row r="12" spans="1:2" x14ac:dyDescent="0.35">
      <c r="A12" s="7">
        <v>8</v>
      </c>
      <c r="B12">
        <v>3</v>
      </c>
    </row>
    <row r="13" spans="1:2" x14ac:dyDescent="0.35">
      <c r="A13" s="7">
        <v>9</v>
      </c>
      <c r="B13">
        <v>1</v>
      </c>
    </row>
    <row r="14" spans="1:2" x14ac:dyDescent="0.35">
      <c r="A14" s="7">
        <v>13</v>
      </c>
      <c r="B14">
        <v>1</v>
      </c>
    </row>
    <row r="15" spans="1:2" x14ac:dyDescent="0.35">
      <c r="A15" s="7" t="s">
        <v>2528</v>
      </c>
      <c r="B15">
        <v>248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zoomScale="70" zoomScaleNormal="70" workbookViewId="0">
      <selection activeCell="D15" sqref="A2:O2401"/>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 - orders[[#This Row],[Order Date]]</f>
        <v>5</v>
      </c>
      <c r="N2">
        <f>WEEKNUM(orders[[#This Row],[Order Date]])</f>
        <v>1</v>
      </c>
      <c r="O2" t="str" cm="1">
        <f t="array" ref="O2">_xlfn.IFS(orders[[#This Row],[Customer Gender]] = "M", "Male",orders[[#This Row],[Customer Gender]] = "F", "Female",orders[[#This Row],[Customer Gender]] = "O", "Others",TRUE,"Unknown")</f>
        <v>Unknown</v>
      </c>
    </row>
    <row r="3" spans="1:15" x14ac:dyDescent="0.35">
      <c r="A3" t="s">
        <v>21</v>
      </c>
      <c r="B3" t="s">
        <v>22</v>
      </c>
      <c r="C3">
        <v>2</v>
      </c>
      <c r="D3">
        <v>30.6</v>
      </c>
      <c r="E3">
        <v>61.2</v>
      </c>
      <c r="F3" s="1">
        <v>45658</v>
      </c>
      <c r="G3" s="1">
        <v>45660</v>
      </c>
      <c r="H3" t="s">
        <v>23</v>
      </c>
      <c r="I3" t="s">
        <v>18</v>
      </c>
      <c r="J3">
        <v>4</v>
      </c>
      <c r="K3" t="s">
        <v>19</v>
      </c>
      <c r="L3" t="s">
        <v>24</v>
      </c>
      <c r="M3">
        <f>orders[[#This Row],[Ship Date]] - orders[[#This Row],[Order Date]]</f>
        <v>2</v>
      </c>
      <c r="N3">
        <f>WEEKNUM(orders[[#This Row],[Order Date]])</f>
        <v>1</v>
      </c>
      <c r="O3" t="str" cm="1">
        <f t="array" ref="O3">_xlfn.IFS(orders[[#This Row],[Customer Gender]] = "M", "Male",orders[[#This Row],[Customer Gender]] = "F", "Female",orders[[#This Row],[Customer Gender]] = "O", "Others",TRUE,"Unknown")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 - orders[[#This Row],[Order Date]]</f>
        <v>3</v>
      </c>
      <c r="N4">
        <f>WEEKNUM(orders[[#This Row],[Order Date]])</f>
        <v>1</v>
      </c>
      <c r="O4" t="str" cm="1">
        <f t="array" ref="O4">_xlfn.IFS(orders[[#This Row],[Customer Gender]] = "M", "Male",orders[[#This Row],[Customer Gender]] = "F", "Female",orders[[#This Row],[Customer Gender]] = "O", "Others",TRUE,"Unknown")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 - orders[[#This Row],[Order Date]]</f>
        <v>1</v>
      </c>
      <c r="N5">
        <f>WEEKNUM(orders[[#This Row],[Order Date]])</f>
        <v>1</v>
      </c>
      <c r="O5" t="str" cm="1">
        <f t="array" ref="O5">_xlfn.IFS(orders[[#This Row],[Customer Gender]] = "M", "Male",orders[[#This Row],[Customer Gender]] = "F", "Female",orders[[#This Row],[Customer Gender]] = "O", "Others",TRUE,"Unknown")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 - orders[[#This Row],[Order Date]]</f>
        <v>3</v>
      </c>
      <c r="N6">
        <f>WEEKNUM(orders[[#This Row],[Order Date]])</f>
        <v>1</v>
      </c>
      <c r="O6" t="str" cm="1">
        <f t="array" ref="O6">_xlfn.IFS(orders[[#This Row],[Customer Gender]] = "M", "Male",orders[[#This Row],[Customer Gender]] = "F", "Female",orders[[#This Row],[Customer Gender]] = "O", "Others",TRUE,"Unknown")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 - orders[[#This Row],[Order Date]]</f>
        <v>3</v>
      </c>
      <c r="N7">
        <f>WEEKNUM(orders[[#This Row],[Order Date]])</f>
        <v>1</v>
      </c>
      <c r="O7" t="str" cm="1">
        <f t="array" ref="O7">_xlfn.IFS(orders[[#This Row],[Customer Gender]] = "M", "Male",orders[[#This Row],[Customer Gender]] = "F", "Female",orders[[#This Row],[Customer Gender]] = "O", "Others",TRUE,"Unknown")</f>
        <v>Male</v>
      </c>
    </row>
    <row r="8" spans="1:15" x14ac:dyDescent="0.35">
      <c r="A8" t="s">
        <v>36</v>
      </c>
      <c r="B8" t="s">
        <v>37</v>
      </c>
      <c r="C8">
        <v>1</v>
      </c>
      <c r="D8">
        <v>55.3</v>
      </c>
      <c r="E8">
        <v>55.3</v>
      </c>
      <c r="F8" s="1">
        <v>45658</v>
      </c>
      <c r="G8" s="1">
        <v>45659</v>
      </c>
      <c r="H8" t="s">
        <v>27</v>
      </c>
      <c r="I8" t="s">
        <v>18</v>
      </c>
      <c r="J8">
        <v>4</v>
      </c>
      <c r="K8" t="s">
        <v>19</v>
      </c>
      <c r="L8" t="s">
        <v>33</v>
      </c>
      <c r="M8">
        <f>orders[[#This Row],[Ship Date]] - orders[[#This Row],[Order Date]]</f>
        <v>1</v>
      </c>
      <c r="N8">
        <f>WEEKNUM(orders[[#This Row],[Order Date]])</f>
        <v>1</v>
      </c>
      <c r="O8" t="str" cm="1">
        <f t="array" ref="O8">_xlfn.IFS(orders[[#This Row],[Customer Gender]] = "M", "Male",orders[[#This Row],[Customer Gender]] = "F", "Female",orders[[#This Row],[Customer Gender]] = "O", "Others",TRUE,"Unknown")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 - orders[[#This Row],[Order Date]]</f>
        <v>1</v>
      </c>
      <c r="N9">
        <f>WEEKNUM(orders[[#This Row],[Order Date]])</f>
        <v>1</v>
      </c>
      <c r="O9" t="str" cm="1">
        <f t="array" ref="O9">_xlfn.IFS(orders[[#This Row],[Customer Gender]] = "M", "Male",orders[[#This Row],[Customer Gender]] = "F", "Female",orders[[#This Row],[Customer Gender]] = "O", "Others",TRUE,"Unknown")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 - orders[[#This Row],[Order Date]]</f>
        <v>1</v>
      </c>
      <c r="N10">
        <f>WEEKNUM(orders[[#This Row],[Order Date]])</f>
        <v>1</v>
      </c>
      <c r="O10" t="str" cm="1">
        <f t="array" ref="O10">_xlfn.IFS(orders[[#This Row],[Customer Gender]] = "M", "Male",orders[[#This Row],[Customer Gender]] = "F", "Female",orders[[#This Row],[Customer Gender]] = "O", "Others",TRUE,"Unknown")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 - orders[[#This Row],[Order Date]]</f>
        <v>3</v>
      </c>
      <c r="N11">
        <f>WEEKNUM(orders[[#This Row],[Order Date]])</f>
        <v>1</v>
      </c>
      <c r="O11" t="str" cm="1">
        <f t="array" ref="O11">_xlfn.IFS(orders[[#This Row],[Customer Gender]] = "M", "Male",orders[[#This Row],[Customer Gender]] = "F", "Female",orders[[#This Row],[Customer Gender]] = "O", "Others",TRUE,"Unknown")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 - orders[[#This Row],[Order Date]]</f>
        <v>6</v>
      </c>
      <c r="N12">
        <f>WEEKNUM(orders[[#This Row],[Order Date]])</f>
        <v>1</v>
      </c>
      <c r="O12" t="str" cm="1">
        <f t="array" ref="O12">_xlfn.IFS(orders[[#This Row],[Customer Gender]] = "M", "Male",orders[[#This Row],[Customer Gender]] = "F", "Female",orders[[#This Row],[Customer Gender]] = "O", "Others",TRUE,"Unknown")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 - orders[[#This Row],[Order Date]]</f>
        <v>2</v>
      </c>
      <c r="N13">
        <f>WEEKNUM(orders[[#This Row],[Order Date]])</f>
        <v>1</v>
      </c>
      <c r="O13" t="str" cm="1">
        <f t="array" ref="O13">_xlfn.IFS(orders[[#This Row],[Customer Gender]] = "M", "Male",orders[[#This Row],[Customer Gender]] = "F", "Female",orders[[#This Row],[Customer Gender]] = "O", "Others",TRUE,"Unknown")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 - orders[[#This Row],[Order Date]]</f>
        <v>4</v>
      </c>
      <c r="N14">
        <f>WEEKNUM(orders[[#This Row],[Order Date]])</f>
        <v>1</v>
      </c>
      <c r="O14" t="str" cm="1">
        <f t="array" ref="O14">_xlfn.IFS(orders[[#This Row],[Customer Gender]] = "M", "Male",orders[[#This Row],[Customer Gender]] = "F", "Female",orders[[#This Row],[Customer Gender]] = "O", "Others",TRUE,"Unknown")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 - orders[[#This Row],[Order Date]]</f>
        <v>7</v>
      </c>
      <c r="N15">
        <f>WEEKNUM(orders[[#This Row],[Order Date]])</f>
        <v>1</v>
      </c>
      <c r="O15" t="str" cm="1">
        <f t="array" ref="O15">_xlfn.IFS(orders[[#This Row],[Customer Gender]] = "M", "Male",orders[[#This Row],[Customer Gender]] = "F", "Female",orders[[#This Row],[Customer Gender]] = "O", "Others",TRUE,"Unknown")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 - orders[[#This Row],[Order Date]]</f>
        <v>3</v>
      </c>
      <c r="N16">
        <f>WEEKNUM(orders[[#This Row],[Order Date]])</f>
        <v>1</v>
      </c>
      <c r="O16" t="str" cm="1">
        <f t="array" ref="O16">_xlfn.IFS(orders[[#This Row],[Customer Gender]] = "M", "Male",orders[[#This Row],[Customer Gender]] = "F", "Female",orders[[#This Row],[Customer Gender]] = "O", "Others",TRUE,"Unknown")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 - orders[[#This Row],[Order Date]]</f>
        <v>1</v>
      </c>
      <c r="N17">
        <f>WEEKNUM(orders[[#This Row],[Order Date]])</f>
        <v>1</v>
      </c>
      <c r="O17" t="str" cm="1">
        <f t="array" ref="O17">_xlfn.IFS(orders[[#This Row],[Customer Gender]] = "M", "Male",orders[[#This Row],[Customer Gender]] = "F", "Female",orders[[#This Row],[Customer Gender]] = "O", "Others",TRUE,"Unknown")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 - orders[[#This Row],[Order Date]]</f>
        <v>1</v>
      </c>
      <c r="N18">
        <f>WEEKNUM(orders[[#This Row],[Order Date]])</f>
        <v>1</v>
      </c>
      <c r="O18" t="str" cm="1">
        <f t="array" ref="O18">_xlfn.IFS(orders[[#This Row],[Customer Gender]] = "M", "Male",orders[[#This Row],[Customer Gender]] = "F", "Female",orders[[#This Row],[Customer Gender]] = "O", "Others",TRUE,"Unknown")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 - orders[[#This Row],[Order Date]]</f>
        <v>3</v>
      </c>
      <c r="N19">
        <f>WEEKNUM(orders[[#This Row],[Order Date]])</f>
        <v>1</v>
      </c>
      <c r="O19" t="str" cm="1">
        <f t="array" ref="O19">_xlfn.IFS(orders[[#This Row],[Customer Gender]] = "M", "Male",orders[[#This Row],[Customer Gender]] = "F", "Female",orders[[#This Row],[Customer Gender]] = "O", "Others",TRUE,"Unknown")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 - orders[[#This Row],[Order Date]]</f>
        <v>3</v>
      </c>
      <c r="N20">
        <f>WEEKNUM(orders[[#This Row],[Order Date]])</f>
        <v>1</v>
      </c>
      <c r="O20" t="str" cm="1">
        <f t="array" ref="O20">_xlfn.IFS(orders[[#This Row],[Customer Gender]] = "M", "Male",orders[[#This Row],[Customer Gender]] = "F", "Female",orders[[#This Row],[Customer Gender]] = "O", "Others",TRUE,"Unknown")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 - orders[[#This Row],[Order Date]]</f>
        <v>1</v>
      </c>
      <c r="N21">
        <f>WEEKNUM(orders[[#This Row],[Order Date]])</f>
        <v>1</v>
      </c>
      <c r="O21" t="str" cm="1">
        <f t="array" ref="O21">_xlfn.IFS(orders[[#This Row],[Customer Gender]] = "M", "Male",orders[[#This Row],[Customer Gender]] = "F", "Female",orders[[#This Row],[Customer Gender]] = "O", "Others",TRUE,"Unknown")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 - orders[[#This Row],[Order Date]]</f>
        <v>3</v>
      </c>
      <c r="N22">
        <f>WEEKNUM(orders[[#This Row],[Order Date]])</f>
        <v>1</v>
      </c>
      <c r="O22" t="str" cm="1">
        <f t="array" ref="O22">_xlfn.IFS(orders[[#This Row],[Customer Gender]] = "M", "Male",orders[[#This Row],[Customer Gender]] = "F", "Female",orders[[#This Row],[Customer Gender]] = "O", "Others",TRUE,"Unknown")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 - orders[[#This Row],[Order Date]]</f>
        <v>1</v>
      </c>
      <c r="N23">
        <f>WEEKNUM(orders[[#This Row],[Order Date]])</f>
        <v>1</v>
      </c>
      <c r="O23" t="str" cm="1">
        <f t="array" ref="O23">_xlfn.IFS(orders[[#This Row],[Customer Gender]] = "M", "Male",orders[[#This Row],[Customer Gender]] = "F", "Female",orders[[#This Row],[Customer Gender]] = "O", "Others",TRUE,"Unknown")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 - orders[[#This Row],[Order Date]]</f>
        <v>1</v>
      </c>
      <c r="N24">
        <f>WEEKNUM(orders[[#This Row],[Order Date]])</f>
        <v>1</v>
      </c>
      <c r="O24" t="str" cm="1">
        <f t="array" ref="O24">_xlfn.IFS(orders[[#This Row],[Customer Gender]] = "M", "Male",orders[[#This Row],[Customer Gender]] = "F", "Female",orders[[#This Row],[Customer Gender]] = "O", "Others",TRUE,"Unknown")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 - orders[[#This Row],[Order Date]]</f>
        <v>1</v>
      </c>
      <c r="N25">
        <f>WEEKNUM(orders[[#This Row],[Order Date]])</f>
        <v>1</v>
      </c>
      <c r="O25" t="str" cm="1">
        <f t="array" ref="O25">_xlfn.IFS(orders[[#This Row],[Customer Gender]] = "M", "Male",orders[[#This Row],[Customer Gender]] = "F", "Female",orders[[#This Row],[Customer Gender]] = "O", "Others",TRUE,"Unknown")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 - orders[[#This Row],[Order Date]]</f>
        <v>1</v>
      </c>
      <c r="N26">
        <f>WEEKNUM(orders[[#This Row],[Order Date]])</f>
        <v>1</v>
      </c>
      <c r="O26" t="str" cm="1">
        <f t="array" ref="O26">_xlfn.IFS(orders[[#This Row],[Customer Gender]] = "M", "Male",orders[[#This Row],[Customer Gender]] = "F", "Female",orders[[#This Row],[Customer Gender]] = "O", "Others",TRUE,"Unknown")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 - orders[[#This Row],[Order Date]]</f>
        <v>1</v>
      </c>
      <c r="N27">
        <f>WEEKNUM(orders[[#This Row],[Order Date]])</f>
        <v>1</v>
      </c>
      <c r="O27" t="str" cm="1">
        <f t="array" ref="O27">_xlfn.IFS(orders[[#This Row],[Customer Gender]] = "M", "Male",orders[[#This Row],[Customer Gender]] = "F", "Female",orders[[#This Row],[Customer Gender]] = "O", "Others",TRUE,"Unknown")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 - orders[[#This Row],[Order Date]]</f>
        <v>3</v>
      </c>
      <c r="N28">
        <f>WEEKNUM(orders[[#This Row],[Order Date]])</f>
        <v>1</v>
      </c>
      <c r="O28" t="str" cm="1">
        <f t="array" ref="O28">_xlfn.IFS(orders[[#This Row],[Customer Gender]] = "M", "Male",orders[[#This Row],[Customer Gender]] = "F", "Female",orders[[#This Row],[Customer Gender]] = "O", "Others",TRUE,"Unknown")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 - orders[[#This Row],[Order Date]]</f>
        <v>2</v>
      </c>
      <c r="N29">
        <f>WEEKNUM(orders[[#This Row],[Order Date]])</f>
        <v>1</v>
      </c>
      <c r="O29" t="str" cm="1">
        <f t="array" ref="O29">_xlfn.IFS(orders[[#This Row],[Customer Gender]] = "M", "Male",orders[[#This Row],[Customer Gender]] = "F", "Female",orders[[#This Row],[Customer Gender]] = "O", "Others",TRUE,"Unknown")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 - orders[[#This Row],[Order Date]]</f>
        <v>6</v>
      </c>
      <c r="N30">
        <f>WEEKNUM(orders[[#This Row],[Order Date]])</f>
        <v>1</v>
      </c>
      <c r="O30" t="str" cm="1">
        <f t="array" ref="O30">_xlfn.IFS(orders[[#This Row],[Customer Gender]] = "M", "Male",orders[[#This Row],[Customer Gender]] = "F", "Female",orders[[#This Row],[Customer Gender]] = "O", "Others",TRUE,"Unknown")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 - orders[[#This Row],[Order Date]]</f>
        <v>4</v>
      </c>
      <c r="N31">
        <f>WEEKNUM(orders[[#This Row],[Order Date]])</f>
        <v>1</v>
      </c>
      <c r="O31" t="str" cm="1">
        <f t="array" ref="O31">_xlfn.IFS(orders[[#This Row],[Customer Gender]] = "M", "Male",orders[[#This Row],[Customer Gender]] = "F", "Female",orders[[#This Row],[Customer Gender]] = "O", "Others",TRUE,"Unknown")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 - orders[[#This Row],[Order Date]]</f>
        <v>4</v>
      </c>
      <c r="N32">
        <f>WEEKNUM(orders[[#This Row],[Order Date]])</f>
        <v>1</v>
      </c>
      <c r="O32" t="str" cm="1">
        <f t="array" ref="O32">_xlfn.IFS(orders[[#This Row],[Customer Gender]] = "M", "Male",orders[[#This Row],[Customer Gender]] = "F", "Female",orders[[#This Row],[Customer Gender]] = "O", "Others",TRUE,"Unknown")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 - orders[[#This Row],[Order Date]]</f>
        <v>3</v>
      </c>
      <c r="N33">
        <f>WEEKNUM(orders[[#This Row],[Order Date]])</f>
        <v>1</v>
      </c>
      <c r="O33" t="str" cm="1">
        <f t="array" ref="O33">_xlfn.IFS(orders[[#This Row],[Customer Gender]] = "M", "Male",orders[[#This Row],[Customer Gender]] = "F", "Female",orders[[#This Row],[Customer Gender]] = "O", "Others",TRUE,"Unknown")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 - orders[[#This Row],[Order Date]]</f>
        <v>1</v>
      </c>
      <c r="N34">
        <f>WEEKNUM(orders[[#This Row],[Order Date]])</f>
        <v>1</v>
      </c>
      <c r="O34" t="str" cm="1">
        <f t="array" ref="O34">_xlfn.IFS(orders[[#This Row],[Customer Gender]] = "M", "Male",orders[[#This Row],[Customer Gender]] = "F", "Female",orders[[#This Row],[Customer Gender]] = "O", "Others",TRUE,"Unknown")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 - orders[[#This Row],[Order Date]]</f>
        <v>2</v>
      </c>
      <c r="N35">
        <f>WEEKNUM(orders[[#This Row],[Order Date]])</f>
        <v>1</v>
      </c>
      <c r="O35" t="str" cm="1">
        <f t="array" ref="O35">_xlfn.IFS(orders[[#This Row],[Customer Gender]] = "M", "Male",orders[[#This Row],[Customer Gender]] = "F", "Female",orders[[#This Row],[Customer Gender]] = "O", "Others",TRUE,"Unknown")</f>
        <v>Others</v>
      </c>
    </row>
    <row r="36" spans="1:15" x14ac:dyDescent="0.35">
      <c r="A36" t="s">
        <v>90</v>
      </c>
      <c r="B36" t="s">
        <v>67</v>
      </c>
      <c r="C36">
        <v>2</v>
      </c>
      <c r="D36">
        <v>32</v>
      </c>
      <c r="E36">
        <v>64</v>
      </c>
      <c r="F36" s="1">
        <v>45658</v>
      </c>
      <c r="G36" s="1">
        <v>45661</v>
      </c>
      <c r="H36" t="s">
        <v>23</v>
      </c>
      <c r="I36" t="s">
        <v>18</v>
      </c>
      <c r="J36">
        <v>5</v>
      </c>
      <c r="K36" t="s">
        <v>19</v>
      </c>
      <c r="L36" t="s">
        <v>33</v>
      </c>
      <c r="M36">
        <f>orders[[#This Row],[Ship Date]] - orders[[#This Row],[Order Date]]</f>
        <v>3</v>
      </c>
      <c r="N36">
        <f>WEEKNUM(orders[[#This Row],[Order Date]])</f>
        <v>1</v>
      </c>
      <c r="O36" t="str" cm="1">
        <f t="array" ref="O36">_xlfn.IFS(orders[[#This Row],[Customer Gender]] = "M", "Male",orders[[#This Row],[Customer Gender]] = "F", "Female",orders[[#This Row],[Customer Gender]] = "O", "Others",TRUE,"Unknown")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 - orders[[#This Row],[Order Date]]</f>
        <v>1</v>
      </c>
      <c r="N37">
        <f>WEEKNUM(orders[[#This Row],[Order Date]])</f>
        <v>1</v>
      </c>
      <c r="O37" t="str" cm="1">
        <f t="array" ref="O37">_xlfn.IFS(orders[[#This Row],[Customer Gender]] = "M", "Male",orders[[#This Row],[Customer Gender]] = "F", "Female",orders[[#This Row],[Customer Gender]] = "O", "Others",TRUE,"Unknown")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 - orders[[#This Row],[Order Date]]</f>
        <v>4</v>
      </c>
      <c r="N38">
        <f>WEEKNUM(orders[[#This Row],[Order Date]])</f>
        <v>1</v>
      </c>
      <c r="O38" t="str" cm="1">
        <f t="array" ref="O38">_xlfn.IFS(orders[[#This Row],[Customer Gender]] = "M", "Male",orders[[#This Row],[Customer Gender]] = "F", "Female",orders[[#This Row],[Customer Gender]] = "O", "Others",TRUE,"Unknown")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 - orders[[#This Row],[Order Date]]</f>
        <v>6</v>
      </c>
      <c r="N39">
        <f>WEEKNUM(orders[[#This Row],[Order Date]])</f>
        <v>1</v>
      </c>
      <c r="O39" t="str" cm="1">
        <f t="array" ref="O39">_xlfn.IFS(orders[[#This Row],[Customer Gender]] = "M", "Male",orders[[#This Row],[Customer Gender]] = "F", "Female",orders[[#This Row],[Customer Gender]] = "O", "Others",TRUE,"Unknown")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 - orders[[#This Row],[Order Date]]</f>
        <v>1</v>
      </c>
      <c r="N40">
        <f>WEEKNUM(orders[[#This Row],[Order Date]])</f>
        <v>1</v>
      </c>
      <c r="O40" t="str" cm="1">
        <f t="array" ref="O40">_xlfn.IFS(orders[[#This Row],[Customer Gender]] = "M", "Male",orders[[#This Row],[Customer Gender]] = "F", "Female",orders[[#This Row],[Customer Gender]] = "O", "Others",TRUE,"Unknown")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 - orders[[#This Row],[Order Date]]</f>
        <v>1</v>
      </c>
      <c r="N41">
        <f>WEEKNUM(orders[[#This Row],[Order Date]])</f>
        <v>1</v>
      </c>
      <c r="O41" t="str" cm="1">
        <f t="array" ref="O41">_xlfn.IFS(orders[[#This Row],[Customer Gender]] = "M", "Male",orders[[#This Row],[Customer Gender]] = "F", "Female",orders[[#This Row],[Customer Gender]] = "O", "Others",TRUE,"Unknown")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 - orders[[#This Row],[Order Date]]</f>
        <v>1</v>
      </c>
      <c r="N42">
        <f>WEEKNUM(orders[[#This Row],[Order Date]])</f>
        <v>1</v>
      </c>
      <c r="O42" t="str" cm="1">
        <f t="array" ref="O42">_xlfn.IFS(orders[[#This Row],[Customer Gender]] = "M", "Male",orders[[#This Row],[Customer Gender]] = "F", "Female",orders[[#This Row],[Customer Gender]] = "O", "Others",TRUE,"Unknown")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 - orders[[#This Row],[Order Date]]</f>
        <v>1</v>
      </c>
      <c r="N43">
        <f>WEEKNUM(orders[[#This Row],[Order Date]])</f>
        <v>1</v>
      </c>
      <c r="O43" t="str" cm="1">
        <f t="array" ref="O43">_xlfn.IFS(orders[[#This Row],[Customer Gender]] = "M", "Male",orders[[#This Row],[Customer Gender]] = "F", "Female",orders[[#This Row],[Customer Gender]] = "O", "Others",TRUE,"Unknown")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 - orders[[#This Row],[Order Date]]</f>
        <v>2</v>
      </c>
      <c r="N44">
        <f>WEEKNUM(orders[[#This Row],[Order Date]])</f>
        <v>1</v>
      </c>
      <c r="O44" t="str" cm="1">
        <f t="array" ref="O44">_xlfn.IFS(orders[[#This Row],[Customer Gender]] = "M", "Male",orders[[#This Row],[Customer Gender]] = "F", "Female",orders[[#This Row],[Customer Gender]] = "O", "Others",TRUE,"Unknown")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 - orders[[#This Row],[Order Date]]</f>
        <v>0</v>
      </c>
      <c r="N45">
        <f>WEEKNUM(orders[[#This Row],[Order Date]])</f>
        <v>1</v>
      </c>
      <c r="O45" t="str" cm="1">
        <f t="array" ref="O45">_xlfn.IFS(orders[[#This Row],[Customer Gender]] = "M", "Male",orders[[#This Row],[Customer Gender]] = "F", "Female",orders[[#This Row],[Customer Gender]] = "O", "Others",TRUE,"Unknown")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 - orders[[#This Row],[Order Date]]</f>
        <v>1</v>
      </c>
      <c r="N46">
        <f>WEEKNUM(orders[[#This Row],[Order Date]])</f>
        <v>1</v>
      </c>
      <c r="O46" t="str" cm="1">
        <f t="array" ref="O46">_xlfn.IFS(orders[[#This Row],[Customer Gender]] = "M", "Male",orders[[#This Row],[Customer Gender]] = "F", "Female",orders[[#This Row],[Customer Gender]] = "O", "Others",TRUE,"Unknown")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 - orders[[#This Row],[Order Date]]</f>
        <v>1</v>
      </c>
      <c r="N47">
        <f>WEEKNUM(orders[[#This Row],[Order Date]])</f>
        <v>1</v>
      </c>
      <c r="O47" t="str" cm="1">
        <f t="array" ref="O47">_xlfn.IFS(orders[[#This Row],[Customer Gender]] = "M", "Male",orders[[#This Row],[Customer Gender]] = "F", "Female",orders[[#This Row],[Customer Gender]] = "O", "Others",TRUE,"Unknown")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 - orders[[#This Row],[Order Date]]</f>
        <v>1</v>
      </c>
      <c r="N48">
        <f>WEEKNUM(orders[[#This Row],[Order Date]])</f>
        <v>1</v>
      </c>
      <c r="O48" t="str" cm="1">
        <f t="array" ref="O48">_xlfn.IFS(orders[[#This Row],[Customer Gender]] = "M", "Male",orders[[#This Row],[Customer Gender]] = "F", "Female",orders[[#This Row],[Customer Gender]] = "O", "Others",TRUE,"Unknown")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 - orders[[#This Row],[Order Date]]</f>
        <v>2</v>
      </c>
      <c r="N49">
        <f>WEEKNUM(orders[[#This Row],[Order Date]])</f>
        <v>1</v>
      </c>
      <c r="O49" t="str" cm="1">
        <f t="array" ref="O49">_xlfn.IFS(orders[[#This Row],[Customer Gender]] = "M", "Male",orders[[#This Row],[Customer Gender]] = "F", "Female",orders[[#This Row],[Customer Gender]] = "O", "Others",TRUE,"Unknown")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 - orders[[#This Row],[Order Date]]</f>
        <v>9</v>
      </c>
      <c r="N50">
        <f>WEEKNUM(orders[[#This Row],[Order Date]])</f>
        <v>1</v>
      </c>
      <c r="O50" t="str" cm="1">
        <f t="array" ref="O50">_xlfn.IFS(orders[[#This Row],[Customer Gender]] = "M", "Male",orders[[#This Row],[Customer Gender]] = "F", "Female",orders[[#This Row],[Customer Gender]] = "O", "Others",TRUE,"Unknown")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 - orders[[#This Row],[Order Date]]</f>
        <v>2</v>
      </c>
      <c r="N51">
        <f>WEEKNUM(orders[[#This Row],[Order Date]])</f>
        <v>1</v>
      </c>
      <c r="O51" t="str" cm="1">
        <f t="array" ref="O51">_xlfn.IFS(orders[[#This Row],[Customer Gender]] = "M", "Male",orders[[#This Row],[Customer Gender]] = "F", "Female",orders[[#This Row],[Customer Gender]] = "O", "Others",TRUE,"Unknown")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 - orders[[#This Row],[Order Date]]</f>
        <v>1</v>
      </c>
      <c r="N52">
        <f>WEEKNUM(orders[[#This Row],[Order Date]])</f>
        <v>1</v>
      </c>
      <c r="O52" t="str" cm="1">
        <f t="array" ref="O52">_xlfn.IFS(orders[[#This Row],[Customer Gender]] = "M", "Male",orders[[#This Row],[Customer Gender]] = "F", "Female",orders[[#This Row],[Customer Gender]] = "O", "Others",TRUE,"Unknown")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 - orders[[#This Row],[Order Date]]</f>
        <v>3</v>
      </c>
      <c r="N53">
        <f>WEEKNUM(orders[[#This Row],[Order Date]])</f>
        <v>1</v>
      </c>
      <c r="O53" t="str" cm="1">
        <f t="array" ref="O53">_xlfn.IFS(orders[[#This Row],[Customer Gender]] = "M", "Male",orders[[#This Row],[Customer Gender]] = "F", "Female",orders[[#This Row],[Customer Gender]] = "O", "Others",TRUE,"Unknown")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 - orders[[#This Row],[Order Date]]</f>
        <v>2</v>
      </c>
      <c r="N54">
        <f>WEEKNUM(orders[[#This Row],[Order Date]])</f>
        <v>1</v>
      </c>
      <c r="O54" t="str" cm="1">
        <f t="array" ref="O54">_xlfn.IFS(orders[[#This Row],[Customer Gender]] = "M", "Male",orders[[#This Row],[Customer Gender]] = "F", "Female",orders[[#This Row],[Customer Gender]] = "O", "Others",TRUE,"Unknown")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 - orders[[#This Row],[Order Date]]</f>
        <v>1</v>
      </c>
      <c r="N55">
        <f>WEEKNUM(orders[[#This Row],[Order Date]])</f>
        <v>1</v>
      </c>
      <c r="O55" t="str" cm="1">
        <f t="array" ref="O55">_xlfn.IFS(orders[[#This Row],[Customer Gender]] = "M", "Male",orders[[#This Row],[Customer Gender]] = "F", "Female",orders[[#This Row],[Customer Gender]] = "O", "Others",TRUE,"Unknown")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 - orders[[#This Row],[Order Date]]</f>
        <v>3</v>
      </c>
      <c r="N56">
        <f>WEEKNUM(orders[[#This Row],[Order Date]])</f>
        <v>1</v>
      </c>
      <c r="O56" t="str" cm="1">
        <f t="array" ref="O56">_xlfn.IFS(orders[[#This Row],[Customer Gender]] = "M", "Male",orders[[#This Row],[Customer Gender]] = "F", "Female",orders[[#This Row],[Customer Gender]] = "O", "Others",TRUE,"Unknown")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 - orders[[#This Row],[Order Date]]</f>
        <v>1</v>
      </c>
      <c r="N57">
        <f>WEEKNUM(orders[[#This Row],[Order Date]])</f>
        <v>1</v>
      </c>
      <c r="O57" t="str" cm="1">
        <f t="array" ref="O57">_xlfn.IFS(orders[[#This Row],[Customer Gender]] = "M", "Male",orders[[#This Row],[Customer Gender]] = "F", "Female",orders[[#This Row],[Customer Gender]] = "O", "Others",TRUE,"Unknown")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 - orders[[#This Row],[Order Date]]</f>
        <v>1</v>
      </c>
      <c r="N58">
        <f>WEEKNUM(orders[[#This Row],[Order Date]])</f>
        <v>1</v>
      </c>
      <c r="O58" t="str" cm="1">
        <f t="array" ref="O58">_xlfn.IFS(orders[[#This Row],[Customer Gender]] = "M", "Male",orders[[#This Row],[Customer Gender]] = "F", "Female",orders[[#This Row],[Customer Gender]] = "O", "Others",TRUE,"Unknown")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 - orders[[#This Row],[Order Date]]</f>
        <v>8</v>
      </c>
      <c r="N59">
        <f>WEEKNUM(orders[[#This Row],[Order Date]])</f>
        <v>1</v>
      </c>
      <c r="O59" t="str" cm="1">
        <f t="array" ref="O59">_xlfn.IFS(orders[[#This Row],[Customer Gender]] = "M", "Male",orders[[#This Row],[Customer Gender]] = "F", "Female",orders[[#This Row],[Customer Gender]] = "O", "Others",TRUE,"Unknown")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 - orders[[#This Row],[Order Date]]</f>
        <v>1</v>
      </c>
      <c r="N60">
        <f>WEEKNUM(orders[[#This Row],[Order Date]])</f>
        <v>1</v>
      </c>
      <c r="O60" t="str" cm="1">
        <f t="array" ref="O60">_xlfn.IFS(orders[[#This Row],[Customer Gender]] = "M", "Male",orders[[#This Row],[Customer Gender]] = "F", "Female",orders[[#This Row],[Customer Gender]] = "O", "Others",TRUE,"Unknown")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 - orders[[#This Row],[Order Date]]</f>
        <v>3</v>
      </c>
      <c r="N61">
        <f>WEEKNUM(orders[[#This Row],[Order Date]])</f>
        <v>1</v>
      </c>
      <c r="O61" t="str" cm="1">
        <f t="array" ref="O61">_xlfn.IFS(orders[[#This Row],[Customer Gender]] = "M", "Male",orders[[#This Row],[Customer Gender]] = "F", "Female",orders[[#This Row],[Customer Gender]] = "O", "Others",TRUE,"Unknown")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 - orders[[#This Row],[Order Date]]</f>
        <v>2</v>
      </c>
      <c r="N62">
        <f>WEEKNUM(orders[[#This Row],[Order Date]])</f>
        <v>1</v>
      </c>
      <c r="O62" t="str" cm="1">
        <f t="array" ref="O62">_xlfn.IFS(orders[[#This Row],[Customer Gender]] = "M", "Male",orders[[#This Row],[Customer Gender]] = "F", "Female",orders[[#This Row],[Customer Gender]] = "O", "Others",TRUE,"Unknown")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 - orders[[#This Row],[Order Date]]</f>
        <v>1</v>
      </c>
      <c r="N63">
        <f>WEEKNUM(orders[[#This Row],[Order Date]])</f>
        <v>1</v>
      </c>
      <c r="O63" t="str" cm="1">
        <f t="array" ref="O63">_xlfn.IFS(orders[[#This Row],[Customer Gender]] = "M", "Male",orders[[#This Row],[Customer Gender]] = "F", "Female",orders[[#This Row],[Customer Gender]] = "O", "Others",TRUE,"Unknown")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 - orders[[#This Row],[Order Date]]</f>
        <v>5</v>
      </c>
      <c r="N64">
        <f>WEEKNUM(orders[[#This Row],[Order Date]])</f>
        <v>1</v>
      </c>
      <c r="O64" t="str" cm="1">
        <f t="array" ref="O64">_xlfn.IFS(orders[[#This Row],[Customer Gender]] = "M", "Male",orders[[#This Row],[Customer Gender]] = "F", "Female",orders[[#This Row],[Customer Gender]] = "O", "Others",TRUE,"Unknown")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 - orders[[#This Row],[Order Date]]</f>
        <v>1</v>
      </c>
      <c r="N65">
        <f>WEEKNUM(orders[[#This Row],[Order Date]])</f>
        <v>1</v>
      </c>
      <c r="O65" t="str" cm="1">
        <f t="array" ref="O65">_xlfn.IFS(orders[[#This Row],[Customer Gender]] = "M", "Male",orders[[#This Row],[Customer Gender]] = "F", "Female",orders[[#This Row],[Customer Gender]] = "O", "Others",TRUE,"Unknown")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 - orders[[#This Row],[Order Date]]</f>
        <v>3</v>
      </c>
      <c r="N66">
        <f>WEEKNUM(orders[[#This Row],[Order Date]])</f>
        <v>1</v>
      </c>
      <c r="O66" t="str" cm="1">
        <f t="array" ref="O66">_xlfn.IFS(orders[[#This Row],[Customer Gender]] = "M", "Male",orders[[#This Row],[Customer Gender]] = "F", "Female",orders[[#This Row],[Customer Gender]] = "O", "Others",TRUE,"Unknown")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 - orders[[#This Row],[Order Date]]</f>
        <v>1</v>
      </c>
      <c r="N67">
        <f>WEEKNUM(orders[[#This Row],[Order Date]])</f>
        <v>1</v>
      </c>
      <c r="O67" t="str" cm="1">
        <f t="array" ref="O67">_xlfn.IFS(orders[[#This Row],[Customer Gender]] = "M", "Male",orders[[#This Row],[Customer Gender]] = "F", "Female",orders[[#This Row],[Customer Gender]] = "O", "Others",TRUE,"Unknown")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 - orders[[#This Row],[Order Date]]</f>
        <v>1</v>
      </c>
      <c r="N68">
        <f>WEEKNUM(orders[[#This Row],[Order Date]])</f>
        <v>1</v>
      </c>
      <c r="O68" t="str" cm="1">
        <f t="array" ref="O68">_xlfn.IFS(orders[[#This Row],[Customer Gender]] = "M", "Male",orders[[#This Row],[Customer Gender]] = "F", "Female",orders[[#This Row],[Customer Gender]] = "O", "Others",TRUE,"Unknown")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 - orders[[#This Row],[Order Date]]</f>
        <v>1</v>
      </c>
      <c r="N69">
        <f>WEEKNUM(orders[[#This Row],[Order Date]])</f>
        <v>1</v>
      </c>
      <c r="O69" t="str" cm="1">
        <f t="array" ref="O69">_xlfn.IFS(orders[[#This Row],[Customer Gender]] = "M", "Male",orders[[#This Row],[Customer Gender]] = "F", "Female",orders[[#This Row],[Customer Gender]] = "O", "Others",TRUE,"Unknown")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 - orders[[#This Row],[Order Date]]</f>
        <v>2</v>
      </c>
      <c r="N70">
        <f>WEEKNUM(orders[[#This Row],[Order Date]])</f>
        <v>1</v>
      </c>
      <c r="O70" t="str" cm="1">
        <f t="array" ref="O70">_xlfn.IFS(orders[[#This Row],[Customer Gender]] = "M", "Male",orders[[#This Row],[Customer Gender]] = "F", "Female",orders[[#This Row],[Customer Gender]] = "O", "Others",TRUE,"Unknown")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 - orders[[#This Row],[Order Date]]</f>
        <v>2</v>
      </c>
      <c r="N71">
        <f>WEEKNUM(orders[[#This Row],[Order Date]])</f>
        <v>1</v>
      </c>
      <c r="O71" t="str" cm="1">
        <f t="array" ref="O71">_xlfn.IFS(orders[[#This Row],[Customer Gender]] = "M", "Male",orders[[#This Row],[Customer Gender]] = "F", "Female",orders[[#This Row],[Customer Gender]] = "O", "Others",TRUE,"Unknown")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 - orders[[#This Row],[Order Date]]</f>
        <v>3</v>
      </c>
      <c r="N72">
        <f>WEEKNUM(orders[[#This Row],[Order Date]])</f>
        <v>1</v>
      </c>
      <c r="O72" t="str" cm="1">
        <f t="array" ref="O72">_xlfn.IFS(orders[[#This Row],[Customer Gender]] = "M", "Male",orders[[#This Row],[Customer Gender]] = "F", "Female",orders[[#This Row],[Customer Gender]] = "O", "Others",TRUE,"Unknown")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 - orders[[#This Row],[Order Date]]</f>
        <v>3</v>
      </c>
      <c r="N73">
        <f>WEEKNUM(orders[[#This Row],[Order Date]])</f>
        <v>1</v>
      </c>
      <c r="O73" t="str" cm="1">
        <f t="array" ref="O73">_xlfn.IFS(orders[[#This Row],[Customer Gender]] = "M", "Male",orders[[#This Row],[Customer Gender]] = "F", "Female",orders[[#This Row],[Customer Gender]] = "O", "Others",TRUE,"Unknown")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 - orders[[#This Row],[Order Date]]</f>
        <v>3</v>
      </c>
      <c r="N74">
        <f>WEEKNUM(orders[[#This Row],[Order Date]])</f>
        <v>1</v>
      </c>
      <c r="O74" t="str" cm="1">
        <f t="array" ref="O74">_xlfn.IFS(orders[[#This Row],[Customer Gender]] = "M", "Male",orders[[#This Row],[Customer Gender]] = "F", "Female",orders[[#This Row],[Customer Gender]] = "O", "Others",TRUE,"Unknown")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 - orders[[#This Row],[Order Date]]</f>
        <v>1</v>
      </c>
      <c r="N75">
        <f>WEEKNUM(orders[[#This Row],[Order Date]])</f>
        <v>1</v>
      </c>
      <c r="O75" t="str" cm="1">
        <f t="array" ref="O75">_xlfn.IFS(orders[[#This Row],[Customer Gender]] = "M", "Male",orders[[#This Row],[Customer Gender]] = "F", "Female",orders[[#This Row],[Customer Gender]] = "O", "Others",TRUE,"Unknown")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 - orders[[#This Row],[Order Date]]</f>
        <v>3</v>
      </c>
      <c r="N76">
        <f>WEEKNUM(orders[[#This Row],[Order Date]])</f>
        <v>1</v>
      </c>
      <c r="O76" t="str" cm="1">
        <f t="array" ref="O76">_xlfn.IFS(orders[[#This Row],[Customer Gender]] = "M", "Male",orders[[#This Row],[Customer Gender]] = "F", "Female",orders[[#This Row],[Customer Gender]] = "O", "Others",TRUE,"Unknown")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 - orders[[#This Row],[Order Date]]</f>
        <v>1</v>
      </c>
      <c r="N77">
        <f>WEEKNUM(orders[[#This Row],[Order Date]])</f>
        <v>1</v>
      </c>
      <c r="O77" t="str" cm="1">
        <f t="array" ref="O77">_xlfn.IFS(orders[[#This Row],[Customer Gender]] = "M", "Male",orders[[#This Row],[Customer Gender]] = "F", "Female",orders[[#This Row],[Customer Gender]] = "O", "Others",TRUE,"Unknown")</f>
        <v>Others</v>
      </c>
    </row>
    <row r="78" spans="1:15" x14ac:dyDescent="0.35">
      <c r="A78" t="s">
        <v>141</v>
      </c>
      <c r="B78" t="s">
        <v>26</v>
      </c>
      <c r="C78">
        <v>8</v>
      </c>
      <c r="D78">
        <v>103.7</v>
      </c>
      <c r="E78">
        <v>829.6</v>
      </c>
      <c r="F78" s="1">
        <v>45660</v>
      </c>
      <c r="G78" s="1">
        <v>45661</v>
      </c>
      <c r="H78" t="s">
        <v>27</v>
      </c>
      <c r="I78" t="s">
        <v>18</v>
      </c>
      <c r="J78">
        <v>3</v>
      </c>
      <c r="K78" t="s">
        <v>19</v>
      </c>
      <c r="L78" t="s">
        <v>110</v>
      </c>
      <c r="M78">
        <f>orders[[#This Row],[Ship Date]] - orders[[#This Row],[Order Date]]</f>
        <v>1</v>
      </c>
      <c r="N78">
        <f>WEEKNUM(orders[[#This Row],[Order Date]])</f>
        <v>1</v>
      </c>
      <c r="O78" t="str" cm="1">
        <f t="array" ref="O78">_xlfn.IFS(orders[[#This Row],[Customer Gender]] = "M", "Male",orders[[#This Row],[Customer Gender]] = "F", "Female",orders[[#This Row],[Customer Gender]] = "O", "Others",TRUE,"Unknown")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 - orders[[#This Row],[Order Date]]</f>
        <v>2</v>
      </c>
      <c r="N79">
        <f>WEEKNUM(orders[[#This Row],[Order Date]])</f>
        <v>1</v>
      </c>
      <c r="O79" t="str" cm="1">
        <f t="array" ref="O79">_xlfn.IFS(orders[[#This Row],[Customer Gender]] = "M", "Male",orders[[#This Row],[Customer Gender]] = "F", "Female",orders[[#This Row],[Customer Gender]] = "O", "Others",TRUE,"Unknown")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 - orders[[#This Row],[Order Date]]</f>
        <v>4</v>
      </c>
      <c r="N80">
        <f>WEEKNUM(orders[[#This Row],[Order Date]])</f>
        <v>1</v>
      </c>
      <c r="O80" t="str" cm="1">
        <f t="array" ref="O80">_xlfn.IFS(orders[[#This Row],[Customer Gender]] = "M", "Male",orders[[#This Row],[Customer Gender]] = "F", "Female",orders[[#This Row],[Customer Gender]] = "O", "Others",TRUE,"Unknown")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 - orders[[#This Row],[Order Date]]</f>
        <v>6</v>
      </c>
      <c r="N81">
        <f>WEEKNUM(orders[[#This Row],[Order Date]])</f>
        <v>1</v>
      </c>
      <c r="O81" t="str" cm="1">
        <f t="array" ref="O81">_xlfn.IFS(orders[[#This Row],[Customer Gender]] = "M", "Male",orders[[#This Row],[Customer Gender]] = "F", "Female",orders[[#This Row],[Customer Gender]] = "O", "Others",TRUE,"Unknown")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 - orders[[#This Row],[Order Date]]</f>
        <v>3</v>
      </c>
      <c r="N82">
        <f>WEEKNUM(orders[[#This Row],[Order Date]])</f>
        <v>1</v>
      </c>
      <c r="O82" t="str" cm="1">
        <f t="array" ref="O82">_xlfn.IFS(orders[[#This Row],[Customer Gender]] = "M", "Male",orders[[#This Row],[Customer Gender]] = "F", "Female",orders[[#This Row],[Customer Gender]] = "O", "Others",TRUE,"Unknown")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 - orders[[#This Row],[Order Date]]</f>
        <v>2</v>
      </c>
      <c r="N83">
        <f>WEEKNUM(orders[[#This Row],[Order Date]])</f>
        <v>1</v>
      </c>
      <c r="O83" t="str" cm="1">
        <f t="array" ref="O83">_xlfn.IFS(orders[[#This Row],[Customer Gender]] = "M", "Male",orders[[#This Row],[Customer Gender]] = "F", "Female",orders[[#This Row],[Customer Gender]] = "O", "Others",TRUE,"Unknown")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 - orders[[#This Row],[Order Date]]</f>
        <v>0</v>
      </c>
      <c r="N84">
        <f>WEEKNUM(orders[[#This Row],[Order Date]])</f>
        <v>1</v>
      </c>
      <c r="O84" t="str" cm="1">
        <f t="array" ref="O84">_xlfn.IFS(orders[[#This Row],[Customer Gender]] = "M", "Male",orders[[#This Row],[Customer Gender]] = "F", "Female",orders[[#This Row],[Customer Gender]] = "O", "Others",TRUE,"Unknown")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 - orders[[#This Row],[Order Date]]</f>
        <v>6</v>
      </c>
      <c r="N85">
        <f>WEEKNUM(orders[[#This Row],[Order Date]])</f>
        <v>1</v>
      </c>
      <c r="O85" t="str" cm="1">
        <f t="array" ref="O85">_xlfn.IFS(orders[[#This Row],[Customer Gender]] = "M", "Male",orders[[#This Row],[Customer Gender]] = "F", "Female",orders[[#This Row],[Customer Gender]] = "O", "Others",TRUE,"Unknown")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 - orders[[#This Row],[Order Date]]</f>
        <v>1</v>
      </c>
      <c r="N86">
        <f>WEEKNUM(orders[[#This Row],[Order Date]])</f>
        <v>1</v>
      </c>
      <c r="O86" t="str" cm="1">
        <f t="array" ref="O86">_xlfn.IFS(orders[[#This Row],[Customer Gender]] = "M", "Male",orders[[#This Row],[Customer Gender]] = "F", "Female",orders[[#This Row],[Customer Gender]] = "O", "Others",TRUE,"Unknown")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 - orders[[#This Row],[Order Date]]</f>
        <v>6</v>
      </c>
      <c r="N87">
        <f>WEEKNUM(orders[[#This Row],[Order Date]])</f>
        <v>1</v>
      </c>
      <c r="O87" t="str" cm="1">
        <f t="array" ref="O87">_xlfn.IFS(orders[[#This Row],[Customer Gender]] = "M", "Male",orders[[#This Row],[Customer Gender]] = "F", "Female",orders[[#This Row],[Customer Gender]] = "O", "Others",TRUE,"Unknown")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 - orders[[#This Row],[Order Date]]</f>
        <v>1</v>
      </c>
      <c r="N88">
        <f>WEEKNUM(orders[[#This Row],[Order Date]])</f>
        <v>1</v>
      </c>
      <c r="O88" t="str" cm="1">
        <f t="array" ref="O88">_xlfn.IFS(orders[[#This Row],[Customer Gender]] = "M", "Male",orders[[#This Row],[Customer Gender]] = "F", "Female",orders[[#This Row],[Customer Gender]] = "O", "Others",TRUE,"Unknown")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 - orders[[#This Row],[Order Date]]</f>
        <v>4</v>
      </c>
      <c r="N89">
        <f>WEEKNUM(orders[[#This Row],[Order Date]])</f>
        <v>1</v>
      </c>
      <c r="O89" t="str" cm="1">
        <f t="array" ref="O89">_xlfn.IFS(orders[[#This Row],[Customer Gender]] = "M", "Male",orders[[#This Row],[Customer Gender]] = "F", "Female",orders[[#This Row],[Customer Gender]] = "O", "Others",TRUE,"Unknown")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 - orders[[#This Row],[Order Date]]</f>
        <v>4</v>
      </c>
      <c r="N90">
        <f>WEEKNUM(orders[[#This Row],[Order Date]])</f>
        <v>1</v>
      </c>
      <c r="O90" t="str" cm="1">
        <f t="array" ref="O90">_xlfn.IFS(orders[[#This Row],[Customer Gender]] = "M", "Male",orders[[#This Row],[Customer Gender]] = "F", "Female",orders[[#This Row],[Customer Gender]] = "O", "Others",TRUE,"Unknown")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 - orders[[#This Row],[Order Date]]</f>
        <v>3</v>
      </c>
      <c r="N91">
        <f>WEEKNUM(orders[[#This Row],[Order Date]])</f>
        <v>1</v>
      </c>
      <c r="O91" t="str" cm="1">
        <f t="array" ref="O91">_xlfn.IFS(orders[[#This Row],[Customer Gender]] = "M", "Male",orders[[#This Row],[Customer Gender]] = "F", "Female",orders[[#This Row],[Customer Gender]] = "O", "Others",TRUE,"Unknown")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 - orders[[#This Row],[Order Date]]</f>
        <v>3</v>
      </c>
      <c r="N92">
        <f>WEEKNUM(orders[[#This Row],[Order Date]])</f>
        <v>1</v>
      </c>
      <c r="O92" t="str" cm="1">
        <f t="array" ref="O92">_xlfn.IFS(orders[[#This Row],[Customer Gender]] = "M", "Male",orders[[#This Row],[Customer Gender]] = "F", "Female",orders[[#This Row],[Customer Gender]] = "O", "Others",TRUE,"Unknown")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 - orders[[#This Row],[Order Date]]</f>
        <v>2</v>
      </c>
      <c r="N93">
        <f>WEEKNUM(orders[[#This Row],[Order Date]])</f>
        <v>1</v>
      </c>
      <c r="O93" t="str" cm="1">
        <f t="array" ref="O93">_xlfn.IFS(orders[[#This Row],[Customer Gender]] = "M", "Male",orders[[#This Row],[Customer Gender]] = "F", "Female",orders[[#This Row],[Customer Gender]] = "O", "Others",TRUE,"Unknown")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 - orders[[#This Row],[Order Date]]</f>
        <v>2</v>
      </c>
      <c r="N94">
        <f>WEEKNUM(orders[[#This Row],[Order Date]])</f>
        <v>1</v>
      </c>
      <c r="O94" t="str" cm="1">
        <f t="array" ref="O94">_xlfn.IFS(orders[[#This Row],[Customer Gender]] = "M", "Male",orders[[#This Row],[Customer Gender]] = "F", "Female",orders[[#This Row],[Customer Gender]] = "O", "Others",TRUE,"Unknown")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 - orders[[#This Row],[Order Date]]</f>
        <v>1</v>
      </c>
      <c r="N95">
        <f>WEEKNUM(orders[[#This Row],[Order Date]])</f>
        <v>1</v>
      </c>
      <c r="O95" t="str" cm="1">
        <f t="array" ref="O95">_xlfn.IFS(orders[[#This Row],[Customer Gender]] = "M", "Male",orders[[#This Row],[Customer Gender]] = "F", "Female",orders[[#This Row],[Customer Gender]] = "O", "Others",TRUE,"Unknown")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 - orders[[#This Row],[Order Date]]</f>
        <v>1</v>
      </c>
      <c r="N96">
        <f>WEEKNUM(orders[[#This Row],[Order Date]])</f>
        <v>1</v>
      </c>
      <c r="O96" t="str" cm="1">
        <f t="array" ref="O96">_xlfn.IFS(orders[[#This Row],[Customer Gender]] = "M", "Male",orders[[#This Row],[Customer Gender]] = "F", "Female",orders[[#This Row],[Customer Gender]] = "O", "Others",TRUE,"Unknown")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 - orders[[#This Row],[Order Date]]</f>
        <v>1</v>
      </c>
      <c r="N97">
        <f>WEEKNUM(orders[[#This Row],[Order Date]])</f>
        <v>1</v>
      </c>
      <c r="O97" t="str" cm="1">
        <f t="array" ref="O97">_xlfn.IFS(orders[[#This Row],[Customer Gender]] = "M", "Male",orders[[#This Row],[Customer Gender]] = "F", "Female",orders[[#This Row],[Customer Gender]] = "O", "Others",TRUE,"Unknown")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 - orders[[#This Row],[Order Date]]</f>
        <v>7</v>
      </c>
      <c r="N98">
        <f>WEEKNUM(orders[[#This Row],[Order Date]])</f>
        <v>1</v>
      </c>
      <c r="O98" t="str" cm="1">
        <f t="array" ref="O98">_xlfn.IFS(orders[[#This Row],[Customer Gender]] = "M", "Male",orders[[#This Row],[Customer Gender]] = "F", "Female",orders[[#This Row],[Customer Gender]] = "O", "Others",TRUE,"Unknown")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 - orders[[#This Row],[Order Date]]</f>
        <v>2</v>
      </c>
      <c r="N99">
        <f>WEEKNUM(orders[[#This Row],[Order Date]])</f>
        <v>1</v>
      </c>
      <c r="O99" t="str" cm="1">
        <f t="array" ref="O99">_xlfn.IFS(orders[[#This Row],[Customer Gender]] = "M", "Male",orders[[#This Row],[Customer Gender]] = "F", "Female",orders[[#This Row],[Customer Gender]] = "O", "Others",TRUE,"Unknown")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 - orders[[#This Row],[Order Date]]</f>
        <v>3</v>
      </c>
      <c r="N100">
        <f>WEEKNUM(orders[[#This Row],[Order Date]])</f>
        <v>1</v>
      </c>
      <c r="O100" t="str" cm="1">
        <f t="array" ref="O100">_xlfn.IFS(orders[[#This Row],[Customer Gender]] = "M", "Male",orders[[#This Row],[Customer Gender]] = "F", "Female",orders[[#This Row],[Customer Gender]] = "O", "Others",TRUE,"Unknown")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 - orders[[#This Row],[Order Date]]</f>
        <v>13</v>
      </c>
      <c r="N101">
        <f>WEEKNUM(orders[[#This Row],[Order Date]])</f>
        <v>1</v>
      </c>
      <c r="O101" t="str" cm="1">
        <f t="array" ref="O101">_xlfn.IFS(orders[[#This Row],[Customer Gender]] = "M", "Male",orders[[#This Row],[Customer Gender]] = "F", "Female",orders[[#This Row],[Customer Gender]] = "O", "Others",TRUE,"Unknown")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 - orders[[#This Row],[Order Date]]</f>
        <v>4</v>
      </c>
      <c r="N102">
        <f>WEEKNUM(orders[[#This Row],[Order Date]])</f>
        <v>1</v>
      </c>
      <c r="O102" t="str" cm="1">
        <f t="array" ref="O102">_xlfn.IFS(orders[[#This Row],[Customer Gender]] = "M", "Male",orders[[#This Row],[Customer Gender]] = "F", "Female",orders[[#This Row],[Customer Gender]] = "O", "Others",TRUE,"Unknown")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 - orders[[#This Row],[Order Date]]</f>
        <v>1</v>
      </c>
      <c r="N103">
        <f>WEEKNUM(orders[[#This Row],[Order Date]])</f>
        <v>2</v>
      </c>
      <c r="O103" t="str" cm="1">
        <f t="array" ref="O103">_xlfn.IFS(orders[[#This Row],[Customer Gender]] = "M", "Male",orders[[#This Row],[Customer Gender]] = "F", "Female",orders[[#This Row],[Customer Gender]] = "O", "Others",TRUE,"Unknown")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 - orders[[#This Row],[Order Date]]</f>
        <v>3</v>
      </c>
      <c r="N104">
        <f>WEEKNUM(orders[[#This Row],[Order Date]])</f>
        <v>2</v>
      </c>
      <c r="O104" t="str" cm="1">
        <f t="array" ref="O104">_xlfn.IFS(orders[[#This Row],[Customer Gender]] = "M", "Male",orders[[#This Row],[Customer Gender]] = "F", "Female",orders[[#This Row],[Customer Gender]] = "O", "Others",TRUE,"Unknown")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 - orders[[#This Row],[Order Date]]</f>
        <v>0</v>
      </c>
      <c r="N105">
        <f>WEEKNUM(orders[[#This Row],[Order Date]])</f>
        <v>2</v>
      </c>
      <c r="O105" t="str" cm="1">
        <f t="array" ref="O105">_xlfn.IFS(orders[[#This Row],[Customer Gender]] = "M", "Male",orders[[#This Row],[Customer Gender]] = "F", "Female",orders[[#This Row],[Customer Gender]] = "O", "Others",TRUE,"Unknown")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 - orders[[#This Row],[Order Date]]</f>
        <v>5</v>
      </c>
      <c r="N106">
        <f>WEEKNUM(orders[[#This Row],[Order Date]])</f>
        <v>2</v>
      </c>
      <c r="O106" t="str" cm="1">
        <f t="array" ref="O106">_xlfn.IFS(orders[[#This Row],[Customer Gender]] = "M", "Male",orders[[#This Row],[Customer Gender]] = "F", "Female",orders[[#This Row],[Customer Gender]] = "O", "Others",TRUE,"Unknown")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 - orders[[#This Row],[Order Date]]</f>
        <v>2</v>
      </c>
      <c r="N107">
        <f>WEEKNUM(orders[[#This Row],[Order Date]])</f>
        <v>2</v>
      </c>
      <c r="O107" t="str" cm="1">
        <f t="array" ref="O107">_xlfn.IFS(orders[[#This Row],[Customer Gender]] = "M", "Male",orders[[#This Row],[Customer Gender]] = "F", "Female",orders[[#This Row],[Customer Gender]] = "O", "Others",TRUE,"Unknown")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 - orders[[#This Row],[Order Date]]</f>
        <v>0</v>
      </c>
      <c r="N108">
        <f>WEEKNUM(orders[[#This Row],[Order Date]])</f>
        <v>2</v>
      </c>
      <c r="O108" t="str" cm="1">
        <f t="array" ref="O108">_xlfn.IFS(orders[[#This Row],[Customer Gender]] = "M", "Male",orders[[#This Row],[Customer Gender]] = "F", "Female",orders[[#This Row],[Customer Gender]] = "O", "Others",TRUE,"Unknown")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 - orders[[#This Row],[Order Date]]</f>
        <v>1</v>
      </c>
      <c r="N109">
        <f>WEEKNUM(orders[[#This Row],[Order Date]])</f>
        <v>2</v>
      </c>
      <c r="O109" t="str" cm="1">
        <f t="array" ref="O109">_xlfn.IFS(orders[[#This Row],[Customer Gender]] = "M", "Male",orders[[#This Row],[Customer Gender]] = "F", "Female",orders[[#This Row],[Customer Gender]] = "O", "Others",TRUE,"Unknown")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 - orders[[#This Row],[Order Date]]</f>
        <v>2</v>
      </c>
      <c r="N110">
        <f>WEEKNUM(orders[[#This Row],[Order Date]])</f>
        <v>2</v>
      </c>
      <c r="O110" t="str" cm="1">
        <f t="array" ref="O110">_xlfn.IFS(orders[[#This Row],[Customer Gender]] = "M", "Male",orders[[#This Row],[Customer Gender]] = "F", "Female",orders[[#This Row],[Customer Gender]] = "O", "Others",TRUE,"Unknown")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 - orders[[#This Row],[Order Date]]</f>
        <v>1</v>
      </c>
      <c r="N111">
        <f>WEEKNUM(orders[[#This Row],[Order Date]])</f>
        <v>2</v>
      </c>
      <c r="O111" t="str" cm="1">
        <f t="array" ref="O111">_xlfn.IFS(orders[[#This Row],[Customer Gender]] = "M", "Male",orders[[#This Row],[Customer Gender]] = "F", "Female",orders[[#This Row],[Customer Gender]] = "O", "Others",TRUE,"Unknown")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 - orders[[#This Row],[Order Date]]</f>
        <v>2</v>
      </c>
      <c r="N112">
        <f>WEEKNUM(orders[[#This Row],[Order Date]])</f>
        <v>2</v>
      </c>
      <c r="O112" t="str" cm="1">
        <f t="array" ref="O112">_xlfn.IFS(orders[[#This Row],[Customer Gender]] = "M", "Male",orders[[#This Row],[Customer Gender]] = "F", "Female",orders[[#This Row],[Customer Gender]] = "O", "Others",TRUE,"Unknown")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 - orders[[#This Row],[Order Date]]</f>
        <v>2</v>
      </c>
      <c r="N113">
        <f>WEEKNUM(orders[[#This Row],[Order Date]])</f>
        <v>2</v>
      </c>
      <c r="O113" t="str" cm="1">
        <f t="array" ref="O113">_xlfn.IFS(orders[[#This Row],[Customer Gender]] = "M", "Male",orders[[#This Row],[Customer Gender]] = "F", "Female",orders[[#This Row],[Customer Gender]] = "O", "Others",TRUE,"Unknown")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 - orders[[#This Row],[Order Date]]</f>
        <v>1</v>
      </c>
      <c r="N114">
        <f>WEEKNUM(orders[[#This Row],[Order Date]])</f>
        <v>2</v>
      </c>
      <c r="O114" t="str" cm="1">
        <f t="array" ref="O114">_xlfn.IFS(orders[[#This Row],[Customer Gender]] = "M", "Male",orders[[#This Row],[Customer Gender]] = "F", "Female",orders[[#This Row],[Customer Gender]] = "O", "Others",TRUE,"Unknown")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 - orders[[#This Row],[Order Date]]</f>
        <v>1</v>
      </c>
      <c r="N115">
        <f>WEEKNUM(orders[[#This Row],[Order Date]])</f>
        <v>2</v>
      </c>
      <c r="O115" t="str" cm="1">
        <f t="array" ref="O115">_xlfn.IFS(orders[[#This Row],[Customer Gender]] = "M", "Male",orders[[#This Row],[Customer Gender]] = "F", "Female",orders[[#This Row],[Customer Gender]] = "O", "Others",TRUE,"Unknown")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 - orders[[#This Row],[Order Date]]</f>
        <v>3</v>
      </c>
      <c r="N116">
        <f>WEEKNUM(orders[[#This Row],[Order Date]])</f>
        <v>2</v>
      </c>
      <c r="O116" t="str" cm="1">
        <f t="array" ref="O116">_xlfn.IFS(orders[[#This Row],[Customer Gender]] = "M", "Male",orders[[#This Row],[Customer Gender]] = "F", "Female",orders[[#This Row],[Customer Gender]] = "O", "Others",TRUE,"Unknown")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 - orders[[#This Row],[Order Date]]</f>
        <v>1</v>
      </c>
      <c r="N117">
        <f>WEEKNUM(orders[[#This Row],[Order Date]])</f>
        <v>2</v>
      </c>
      <c r="O117" t="str" cm="1">
        <f t="array" ref="O117">_xlfn.IFS(orders[[#This Row],[Customer Gender]] = "M", "Male",orders[[#This Row],[Customer Gender]] = "F", "Female",orders[[#This Row],[Customer Gender]] = "O", "Others",TRUE,"Unknown")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 - orders[[#This Row],[Order Date]]</f>
        <v>1</v>
      </c>
      <c r="N118">
        <f>WEEKNUM(orders[[#This Row],[Order Date]])</f>
        <v>2</v>
      </c>
      <c r="O118" t="str" cm="1">
        <f t="array" ref="O118">_xlfn.IFS(orders[[#This Row],[Customer Gender]] = "M", "Male",orders[[#This Row],[Customer Gender]] = "F", "Female",orders[[#This Row],[Customer Gender]] = "O", "Others",TRUE,"Unknown")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 - orders[[#This Row],[Order Date]]</f>
        <v>2</v>
      </c>
      <c r="N119">
        <f>WEEKNUM(orders[[#This Row],[Order Date]])</f>
        <v>2</v>
      </c>
      <c r="O119" t="str" cm="1">
        <f t="array" ref="O119">_xlfn.IFS(orders[[#This Row],[Customer Gender]] = "M", "Male",orders[[#This Row],[Customer Gender]] = "F", "Female",orders[[#This Row],[Customer Gender]] = "O", "Others",TRUE,"Unknown")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 - orders[[#This Row],[Order Date]]</f>
        <v>1</v>
      </c>
      <c r="N120">
        <f>WEEKNUM(orders[[#This Row],[Order Date]])</f>
        <v>2</v>
      </c>
      <c r="O120" t="str" cm="1">
        <f t="array" ref="O120">_xlfn.IFS(orders[[#This Row],[Customer Gender]] = "M", "Male",orders[[#This Row],[Customer Gender]] = "F", "Female",orders[[#This Row],[Customer Gender]] = "O", "Others",TRUE,"Unknown")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 - orders[[#This Row],[Order Date]]</f>
        <v>1</v>
      </c>
      <c r="N121">
        <f>WEEKNUM(orders[[#This Row],[Order Date]])</f>
        <v>2</v>
      </c>
      <c r="O121" t="str" cm="1">
        <f t="array" ref="O121">_xlfn.IFS(orders[[#This Row],[Customer Gender]] = "M", "Male",orders[[#This Row],[Customer Gender]] = "F", "Female",orders[[#This Row],[Customer Gender]] = "O", "Others",TRUE,"Unknown")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 - orders[[#This Row],[Order Date]]</f>
        <v>4</v>
      </c>
      <c r="N122">
        <f>WEEKNUM(orders[[#This Row],[Order Date]])</f>
        <v>2</v>
      </c>
      <c r="O122" t="str" cm="1">
        <f t="array" ref="O122">_xlfn.IFS(orders[[#This Row],[Customer Gender]] = "M", "Male",orders[[#This Row],[Customer Gender]] = "F", "Female",orders[[#This Row],[Customer Gender]] = "O", "Others",TRUE,"Unknown")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 - orders[[#This Row],[Order Date]]</f>
        <v>1</v>
      </c>
      <c r="N123">
        <f>WEEKNUM(orders[[#This Row],[Order Date]])</f>
        <v>2</v>
      </c>
      <c r="O123" t="str" cm="1">
        <f t="array" ref="O123">_xlfn.IFS(orders[[#This Row],[Customer Gender]] = "M", "Male",orders[[#This Row],[Customer Gender]] = "F", "Female",orders[[#This Row],[Customer Gender]] = "O", "Others",TRUE,"Unknown")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 - orders[[#This Row],[Order Date]]</f>
        <v>1</v>
      </c>
      <c r="N124">
        <f>WEEKNUM(orders[[#This Row],[Order Date]])</f>
        <v>2</v>
      </c>
      <c r="O124" t="str" cm="1">
        <f t="array" ref="O124">_xlfn.IFS(orders[[#This Row],[Customer Gender]] = "M", "Male",orders[[#This Row],[Customer Gender]] = "F", "Female",orders[[#This Row],[Customer Gender]] = "O", "Others",TRUE,"Unknown")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 - orders[[#This Row],[Order Date]]</f>
        <v>1</v>
      </c>
      <c r="N125">
        <f>WEEKNUM(orders[[#This Row],[Order Date]])</f>
        <v>2</v>
      </c>
      <c r="O125" t="str" cm="1">
        <f t="array" ref="O125">_xlfn.IFS(orders[[#This Row],[Customer Gender]] = "M", "Male",orders[[#This Row],[Customer Gender]] = "F", "Female",orders[[#This Row],[Customer Gender]] = "O", "Others",TRUE,"Unknown")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 - orders[[#This Row],[Order Date]]</f>
        <v>2</v>
      </c>
      <c r="N126">
        <f>WEEKNUM(orders[[#This Row],[Order Date]])</f>
        <v>2</v>
      </c>
      <c r="O126" t="str" cm="1">
        <f t="array" ref="O126">_xlfn.IFS(orders[[#This Row],[Customer Gender]] = "M", "Male",orders[[#This Row],[Customer Gender]] = "F", "Female",orders[[#This Row],[Customer Gender]] = "O", "Others",TRUE,"Unknown")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 - orders[[#This Row],[Order Date]]</f>
        <v>2</v>
      </c>
      <c r="N127">
        <f>WEEKNUM(orders[[#This Row],[Order Date]])</f>
        <v>2</v>
      </c>
      <c r="O127" t="str" cm="1">
        <f t="array" ref="O127">_xlfn.IFS(orders[[#This Row],[Customer Gender]] = "M", "Male",orders[[#This Row],[Customer Gender]] = "F", "Female",orders[[#This Row],[Customer Gender]] = "O", "Others",TRUE,"Unknown")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 - orders[[#This Row],[Order Date]]</f>
        <v>1</v>
      </c>
      <c r="N128">
        <f>WEEKNUM(orders[[#This Row],[Order Date]])</f>
        <v>2</v>
      </c>
      <c r="O128" t="str" cm="1">
        <f t="array" ref="O128">_xlfn.IFS(orders[[#This Row],[Customer Gender]] = "M", "Male",orders[[#This Row],[Customer Gender]] = "F", "Female",orders[[#This Row],[Customer Gender]] = "O", "Others",TRUE,"Unknown")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 - orders[[#This Row],[Order Date]]</f>
        <v>2</v>
      </c>
      <c r="N129">
        <f>WEEKNUM(orders[[#This Row],[Order Date]])</f>
        <v>2</v>
      </c>
      <c r="O129" t="str" cm="1">
        <f t="array" ref="O129">_xlfn.IFS(orders[[#This Row],[Customer Gender]] = "M", "Male",orders[[#This Row],[Customer Gender]] = "F", "Female",orders[[#This Row],[Customer Gender]] = "O", "Others",TRUE,"Unknown")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 - orders[[#This Row],[Order Date]]</f>
        <v>4</v>
      </c>
      <c r="N130">
        <f>WEEKNUM(orders[[#This Row],[Order Date]])</f>
        <v>2</v>
      </c>
      <c r="O130" t="str" cm="1">
        <f t="array" ref="O130">_xlfn.IFS(orders[[#This Row],[Customer Gender]] = "M", "Male",orders[[#This Row],[Customer Gender]] = "F", "Female",orders[[#This Row],[Customer Gender]] = "O", "Others",TRUE,"Unknown")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 - orders[[#This Row],[Order Date]]</f>
        <v>1</v>
      </c>
      <c r="N131">
        <f>WEEKNUM(orders[[#This Row],[Order Date]])</f>
        <v>2</v>
      </c>
      <c r="O131" t="str" cm="1">
        <f t="array" ref="O131">_xlfn.IFS(orders[[#This Row],[Customer Gender]] = "M", "Male",orders[[#This Row],[Customer Gender]] = "F", "Female",orders[[#This Row],[Customer Gender]] = "O", "Others",TRUE,"Unknown")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 - orders[[#This Row],[Order Date]]</f>
        <v>9</v>
      </c>
      <c r="N132">
        <f>WEEKNUM(orders[[#This Row],[Order Date]])</f>
        <v>2</v>
      </c>
      <c r="O132" t="str" cm="1">
        <f t="array" ref="O132">_xlfn.IFS(orders[[#This Row],[Customer Gender]] = "M", "Male",orders[[#This Row],[Customer Gender]] = "F", "Female",orders[[#This Row],[Customer Gender]] = "O", "Others",TRUE,"Unknown")</f>
        <v>Others</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 - orders[[#This Row],[Order Date]]</f>
        <v>3</v>
      </c>
      <c r="N133">
        <f>WEEKNUM(orders[[#This Row],[Order Date]])</f>
        <v>2</v>
      </c>
      <c r="O133" t="str" cm="1">
        <f t="array" ref="O133">_xlfn.IFS(orders[[#This Row],[Customer Gender]] = "M", "Male",orders[[#This Row],[Customer Gender]] = "F", "Female",orders[[#This Row],[Customer Gender]] = "O", "Others",TRUE,"Unknown")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 - orders[[#This Row],[Order Date]]</f>
        <v>1</v>
      </c>
      <c r="N134">
        <f>WEEKNUM(orders[[#This Row],[Order Date]])</f>
        <v>2</v>
      </c>
      <c r="O134" t="str" cm="1">
        <f t="array" ref="O134">_xlfn.IFS(orders[[#This Row],[Customer Gender]] = "M", "Male",orders[[#This Row],[Customer Gender]] = "F", "Female",orders[[#This Row],[Customer Gender]] = "O", "Others",TRUE,"Unknown")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 - orders[[#This Row],[Order Date]]</f>
        <v>5</v>
      </c>
      <c r="N135">
        <f>WEEKNUM(orders[[#This Row],[Order Date]])</f>
        <v>2</v>
      </c>
      <c r="O135" t="str" cm="1">
        <f t="array" ref="O135">_xlfn.IFS(orders[[#This Row],[Customer Gender]] = "M", "Male",orders[[#This Row],[Customer Gender]] = "F", "Female",orders[[#This Row],[Customer Gender]] = "O", "Others",TRUE,"Unknown")</f>
        <v>Others</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 - orders[[#This Row],[Order Date]]</f>
        <v>3</v>
      </c>
      <c r="N136">
        <f>WEEKNUM(orders[[#This Row],[Order Date]])</f>
        <v>2</v>
      </c>
      <c r="O136" t="str" cm="1">
        <f t="array" ref="O136">_xlfn.IFS(orders[[#This Row],[Customer Gender]] = "M", "Male",orders[[#This Row],[Customer Gender]] = "F", "Female",orders[[#This Row],[Customer Gender]] = "O", "Others",TRUE,"Unknown")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 - orders[[#This Row],[Order Date]]</f>
        <v>2</v>
      </c>
      <c r="N137">
        <f>WEEKNUM(orders[[#This Row],[Order Date]])</f>
        <v>2</v>
      </c>
      <c r="O137" t="str" cm="1">
        <f t="array" ref="O137">_xlfn.IFS(orders[[#This Row],[Customer Gender]] = "M", "Male",orders[[#This Row],[Customer Gender]] = "F", "Female",orders[[#This Row],[Customer Gender]] = "O", "Others",TRUE,"Unknown")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 - orders[[#This Row],[Order Date]]</f>
        <v>1</v>
      </c>
      <c r="N138">
        <f>WEEKNUM(orders[[#This Row],[Order Date]])</f>
        <v>2</v>
      </c>
      <c r="O138" t="str" cm="1">
        <f t="array" ref="O138">_xlfn.IFS(orders[[#This Row],[Customer Gender]] = "M", "Male",orders[[#This Row],[Customer Gender]] = "F", "Female",orders[[#This Row],[Customer Gender]] = "O", "Others",TRUE,"Unknown")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 - orders[[#This Row],[Order Date]]</f>
        <v>3</v>
      </c>
      <c r="N139">
        <f>WEEKNUM(orders[[#This Row],[Order Date]])</f>
        <v>2</v>
      </c>
      <c r="O139" t="str" cm="1">
        <f t="array" ref="O139">_xlfn.IFS(orders[[#This Row],[Customer Gender]] = "M", "Male",orders[[#This Row],[Customer Gender]] = "F", "Female",orders[[#This Row],[Customer Gender]] = "O", "Others",TRUE,"Unknown")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 - orders[[#This Row],[Order Date]]</f>
        <v>5</v>
      </c>
      <c r="N140">
        <f>WEEKNUM(orders[[#This Row],[Order Date]])</f>
        <v>2</v>
      </c>
      <c r="O140" t="str" cm="1">
        <f t="array" ref="O140">_xlfn.IFS(orders[[#This Row],[Customer Gender]] = "M", "Male",orders[[#This Row],[Customer Gender]] = "F", "Female",orders[[#This Row],[Customer Gender]] = "O", "Others",TRUE,"Unknown")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 - orders[[#This Row],[Order Date]]</f>
        <v>0</v>
      </c>
      <c r="N141">
        <f>WEEKNUM(orders[[#This Row],[Order Date]])</f>
        <v>2</v>
      </c>
      <c r="O141" t="str" cm="1">
        <f t="array" ref="O141">_xlfn.IFS(orders[[#This Row],[Customer Gender]] = "M", "Male",orders[[#This Row],[Customer Gender]] = "F", "Female",orders[[#This Row],[Customer Gender]] = "O", "Others",TRUE,"Unknown")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 - orders[[#This Row],[Order Date]]</f>
        <v>3</v>
      </c>
      <c r="N142">
        <f>WEEKNUM(orders[[#This Row],[Order Date]])</f>
        <v>2</v>
      </c>
      <c r="O142" t="str" cm="1">
        <f t="array" ref="O142">_xlfn.IFS(orders[[#This Row],[Customer Gender]] = "M", "Male",orders[[#This Row],[Customer Gender]] = "F", "Female",orders[[#This Row],[Customer Gender]] = "O", "Others",TRUE,"Unknown")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 - orders[[#This Row],[Order Date]]</f>
        <v>0</v>
      </c>
      <c r="N143">
        <f>WEEKNUM(orders[[#This Row],[Order Date]])</f>
        <v>2</v>
      </c>
      <c r="O143" t="str" cm="1">
        <f t="array" ref="O143">_xlfn.IFS(orders[[#This Row],[Customer Gender]] = "M", "Male",orders[[#This Row],[Customer Gender]] = "F", "Female",orders[[#This Row],[Customer Gender]] = "O", "Others",TRUE,"Unknown")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 - orders[[#This Row],[Order Date]]</f>
        <v>3</v>
      </c>
      <c r="N144">
        <f>WEEKNUM(orders[[#This Row],[Order Date]])</f>
        <v>2</v>
      </c>
      <c r="O144" t="str" cm="1">
        <f t="array" ref="O144">_xlfn.IFS(orders[[#This Row],[Customer Gender]] = "M", "Male",orders[[#This Row],[Customer Gender]] = "F", "Female",orders[[#This Row],[Customer Gender]] = "O", "Others",TRUE,"Unknown")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 - orders[[#This Row],[Order Date]]</f>
        <v>1</v>
      </c>
      <c r="N145">
        <f>WEEKNUM(orders[[#This Row],[Order Date]])</f>
        <v>2</v>
      </c>
      <c r="O145" t="str" cm="1">
        <f t="array" ref="O145">_xlfn.IFS(orders[[#This Row],[Customer Gender]] = "M", "Male",orders[[#This Row],[Customer Gender]] = "F", "Female",orders[[#This Row],[Customer Gender]] = "O", "Others",TRUE,"Unknown")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 - orders[[#This Row],[Order Date]]</f>
        <v>4</v>
      </c>
      <c r="N146">
        <f>WEEKNUM(orders[[#This Row],[Order Date]])</f>
        <v>2</v>
      </c>
      <c r="O146" t="str" cm="1">
        <f t="array" ref="O146">_xlfn.IFS(orders[[#This Row],[Customer Gender]] = "M", "Male",orders[[#This Row],[Customer Gender]] = "F", "Female",orders[[#This Row],[Customer Gender]] = "O", "Others",TRUE,"Unknown")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 - orders[[#This Row],[Order Date]]</f>
        <v>1</v>
      </c>
      <c r="N147">
        <f>WEEKNUM(orders[[#This Row],[Order Date]])</f>
        <v>2</v>
      </c>
      <c r="O147" t="str" cm="1">
        <f t="array" ref="O147">_xlfn.IFS(orders[[#This Row],[Customer Gender]] = "M", "Male",orders[[#This Row],[Customer Gender]] = "F", "Female",orders[[#This Row],[Customer Gender]] = "O", "Others",TRUE,"Unknown")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 - orders[[#This Row],[Order Date]]</f>
        <v>1</v>
      </c>
      <c r="N148">
        <f>WEEKNUM(orders[[#This Row],[Order Date]])</f>
        <v>2</v>
      </c>
      <c r="O148" t="str" cm="1">
        <f t="array" ref="O148">_xlfn.IFS(orders[[#This Row],[Customer Gender]] = "M", "Male",orders[[#This Row],[Customer Gender]] = "F", "Female",orders[[#This Row],[Customer Gender]] = "O", "Others",TRUE,"Unknown")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 - orders[[#This Row],[Order Date]]</f>
        <v>1</v>
      </c>
      <c r="N149">
        <f>WEEKNUM(orders[[#This Row],[Order Date]])</f>
        <v>2</v>
      </c>
      <c r="O149" t="str" cm="1">
        <f t="array" ref="O149">_xlfn.IFS(orders[[#This Row],[Customer Gender]] = "M", "Male",orders[[#This Row],[Customer Gender]] = "F", "Female",orders[[#This Row],[Customer Gender]] = "O", "Others",TRUE,"Unknown")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 - orders[[#This Row],[Order Date]]</f>
        <v>4</v>
      </c>
      <c r="N150">
        <f>WEEKNUM(orders[[#This Row],[Order Date]])</f>
        <v>2</v>
      </c>
      <c r="O150" t="str" cm="1">
        <f t="array" ref="O150">_xlfn.IFS(orders[[#This Row],[Customer Gender]] = "M", "Male",orders[[#This Row],[Customer Gender]] = "F", "Female",orders[[#This Row],[Customer Gender]] = "O", "Others",TRUE,"Unknown")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 - orders[[#This Row],[Order Date]]</f>
        <v>2</v>
      </c>
      <c r="N151">
        <f>WEEKNUM(orders[[#This Row],[Order Date]])</f>
        <v>2</v>
      </c>
      <c r="O151" t="str" cm="1">
        <f t="array" ref="O151">_xlfn.IFS(orders[[#This Row],[Customer Gender]] = "M", "Male",orders[[#This Row],[Customer Gender]] = "F", "Female",orders[[#This Row],[Customer Gender]] = "O", "Others",TRUE,"Unknown")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 - orders[[#This Row],[Order Date]]</f>
        <v>9</v>
      </c>
      <c r="N152">
        <f>WEEKNUM(orders[[#This Row],[Order Date]])</f>
        <v>2</v>
      </c>
      <c r="O152" t="str" cm="1">
        <f t="array" ref="O152">_xlfn.IFS(orders[[#This Row],[Customer Gender]] = "M", "Male",orders[[#This Row],[Customer Gender]] = "F", "Female",orders[[#This Row],[Customer Gender]] = "O", "Others",TRUE,"Unknown")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 - orders[[#This Row],[Order Date]]</f>
        <v>1</v>
      </c>
      <c r="N153">
        <f>WEEKNUM(orders[[#This Row],[Order Date]])</f>
        <v>2</v>
      </c>
      <c r="O153" t="str" cm="1">
        <f t="array" ref="O153">_xlfn.IFS(orders[[#This Row],[Customer Gender]] = "M", "Male",orders[[#This Row],[Customer Gender]] = "F", "Female",orders[[#This Row],[Customer Gender]] = "O", "Others",TRUE,"Unknown")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 - orders[[#This Row],[Order Date]]</f>
        <v>0</v>
      </c>
      <c r="N154">
        <f>WEEKNUM(orders[[#This Row],[Order Date]])</f>
        <v>2</v>
      </c>
      <c r="O154" t="str" cm="1">
        <f t="array" ref="O154">_xlfn.IFS(orders[[#This Row],[Customer Gender]] = "M", "Male",orders[[#This Row],[Customer Gender]] = "F", "Female",orders[[#This Row],[Customer Gender]] = "O", "Others",TRUE,"Unknown")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 - orders[[#This Row],[Order Date]]</f>
        <v>2</v>
      </c>
      <c r="N155">
        <f>WEEKNUM(orders[[#This Row],[Order Date]])</f>
        <v>2</v>
      </c>
      <c r="O155" t="str" cm="1">
        <f t="array" ref="O155">_xlfn.IFS(orders[[#This Row],[Customer Gender]] = "M", "Male",orders[[#This Row],[Customer Gender]] = "F", "Female",orders[[#This Row],[Customer Gender]] = "O", "Others",TRUE,"Unknown")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 - orders[[#This Row],[Order Date]]</f>
        <v>0</v>
      </c>
      <c r="N156">
        <f>WEEKNUM(orders[[#This Row],[Order Date]])</f>
        <v>2</v>
      </c>
      <c r="O156" t="str" cm="1">
        <f t="array" ref="O156">_xlfn.IFS(orders[[#This Row],[Customer Gender]] = "M", "Male",orders[[#This Row],[Customer Gender]] = "F", "Female",orders[[#This Row],[Customer Gender]] = "O", "Others",TRUE,"Unknown")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 - orders[[#This Row],[Order Date]]</f>
        <v>1</v>
      </c>
      <c r="N157">
        <f>WEEKNUM(orders[[#This Row],[Order Date]])</f>
        <v>2</v>
      </c>
      <c r="O157" t="str" cm="1">
        <f t="array" ref="O157">_xlfn.IFS(orders[[#This Row],[Customer Gender]] = "M", "Male",orders[[#This Row],[Customer Gender]] = "F", "Female",orders[[#This Row],[Customer Gender]] = "O", "Others",TRUE,"Unknown")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 - orders[[#This Row],[Order Date]]</f>
        <v>4</v>
      </c>
      <c r="N158">
        <f>WEEKNUM(orders[[#This Row],[Order Date]])</f>
        <v>2</v>
      </c>
      <c r="O158" t="str" cm="1">
        <f t="array" ref="O158">_xlfn.IFS(orders[[#This Row],[Customer Gender]] = "M", "Male",orders[[#This Row],[Customer Gender]] = "F", "Female",orders[[#This Row],[Customer Gender]] = "O", "Others",TRUE,"Unknown")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 - orders[[#This Row],[Order Date]]</f>
        <v>1</v>
      </c>
      <c r="N159">
        <f>WEEKNUM(orders[[#This Row],[Order Date]])</f>
        <v>2</v>
      </c>
      <c r="O159" t="str" cm="1">
        <f t="array" ref="O159">_xlfn.IFS(orders[[#This Row],[Customer Gender]] = "M", "Male",orders[[#This Row],[Customer Gender]] = "F", "Female",orders[[#This Row],[Customer Gender]] = "O", "Others",TRUE,"Unknown")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 - orders[[#This Row],[Order Date]]</f>
        <v>5</v>
      </c>
      <c r="N160">
        <f>WEEKNUM(orders[[#This Row],[Order Date]])</f>
        <v>2</v>
      </c>
      <c r="O160" t="str" cm="1">
        <f t="array" ref="O160">_xlfn.IFS(orders[[#This Row],[Customer Gender]] = "M", "Male",orders[[#This Row],[Customer Gender]] = "F", "Female",orders[[#This Row],[Customer Gender]] = "O", "Others",TRUE,"Unknown")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 - orders[[#This Row],[Order Date]]</f>
        <v>1</v>
      </c>
      <c r="N161">
        <f>WEEKNUM(orders[[#This Row],[Order Date]])</f>
        <v>2</v>
      </c>
      <c r="O161" t="str" cm="1">
        <f t="array" ref="O161">_xlfn.IFS(orders[[#This Row],[Customer Gender]] = "M", "Male",orders[[#This Row],[Customer Gender]] = "F", "Female",orders[[#This Row],[Customer Gender]] = "O", "Others",TRUE,"Unknown")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 - orders[[#This Row],[Order Date]]</f>
        <v>1</v>
      </c>
      <c r="N162">
        <f>WEEKNUM(orders[[#This Row],[Order Date]])</f>
        <v>2</v>
      </c>
      <c r="O162" t="str" cm="1">
        <f t="array" ref="O162">_xlfn.IFS(orders[[#This Row],[Customer Gender]] = "M", "Male",orders[[#This Row],[Customer Gender]] = "F", "Female",orders[[#This Row],[Customer Gender]] = "O", "Others",TRUE,"Unknown")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 - orders[[#This Row],[Order Date]]</f>
        <v>1</v>
      </c>
      <c r="N163">
        <f>WEEKNUM(orders[[#This Row],[Order Date]])</f>
        <v>2</v>
      </c>
      <c r="O163" t="str" cm="1">
        <f t="array" ref="O163">_xlfn.IFS(orders[[#This Row],[Customer Gender]] = "M", "Male",orders[[#This Row],[Customer Gender]] = "F", "Female",orders[[#This Row],[Customer Gender]] = "O", "Others",TRUE,"Unknown")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 - orders[[#This Row],[Order Date]]</f>
        <v>1</v>
      </c>
      <c r="N164">
        <f>WEEKNUM(orders[[#This Row],[Order Date]])</f>
        <v>2</v>
      </c>
      <c r="O164" t="str" cm="1">
        <f t="array" ref="O164">_xlfn.IFS(orders[[#This Row],[Customer Gender]] = "M", "Male",orders[[#This Row],[Customer Gender]] = "F", "Female",orders[[#This Row],[Customer Gender]] = "O", "Others",TRUE,"Unknown")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 - orders[[#This Row],[Order Date]]</f>
        <v>1</v>
      </c>
      <c r="N165">
        <f>WEEKNUM(orders[[#This Row],[Order Date]])</f>
        <v>2</v>
      </c>
      <c r="O165" t="str" cm="1">
        <f t="array" ref="O165">_xlfn.IFS(orders[[#This Row],[Customer Gender]] = "M", "Male",orders[[#This Row],[Customer Gender]] = "F", "Female",orders[[#This Row],[Customer Gender]] = "O", "Others",TRUE,"Unknown")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 - orders[[#This Row],[Order Date]]</f>
        <v>3</v>
      </c>
      <c r="N166">
        <f>WEEKNUM(orders[[#This Row],[Order Date]])</f>
        <v>2</v>
      </c>
      <c r="O166" t="str" cm="1">
        <f t="array" ref="O166">_xlfn.IFS(orders[[#This Row],[Customer Gender]] = "M", "Male",orders[[#This Row],[Customer Gender]] = "F", "Female",orders[[#This Row],[Customer Gender]] = "O", "Others",TRUE,"Unknown")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 - orders[[#This Row],[Order Date]]</f>
        <v>5</v>
      </c>
      <c r="N167">
        <f>WEEKNUM(orders[[#This Row],[Order Date]])</f>
        <v>2</v>
      </c>
      <c r="O167" t="str" cm="1">
        <f t="array" ref="O167">_xlfn.IFS(orders[[#This Row],[Customer Gender]] = "M", "Male",orders[[#This Row],[Customer Gender]] = "F", "Female",orders[[#This Row],[Customer Gender]] = "O", "Others",TRUE,"Unknown")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 - orders[[#This Row],[Order Date]]</f>
        <v>2</v>
      </c>
      <c r="N168">
        <f>WEEKNUM(orders[[#This Row],[Order Date]])</f>
        <v>2</v>
      </c>
      <c r="O168" t="str" cm="1">
        <f t="array" ref="O168">_xlfn.IFS(orders[[#This Row],[Customer Gender]] = "M", "Male",orders[[#This Row],[Customer Gender]] = "F", "Female",orders[[#This Row],[Customer Gender]] = "O", "Others",TRUE,"Unknown")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 - orders[[#This Row],[Order Date]]</f>
        <v>4</v>
      </c>
      <c r="N169">
        <f>WEEKNUM(orders[[#This Row],[Order Date]])</f>
        <v>2</v>
      </c>
      <c r="O169" t="str" cm="1">
        <f t="array" ref="O169">_xlfn.IFS(orders[[#This Row],[Customer Gender]] = "M", "Male",orders[[#This Row],[Customer Gender]] = "F", "Female",orders[[#This Row],[Customer Gender]] = "O", "Others",TRUE,"Unknown")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 - orders[[#This Row],[Order Date]]</f>
        <v>11</v>
      </c>
      <c r="N170">
        <f>WEEKNUM(orders[[#This Row],[Order Date]])</f>
        <v>2</v>
      </c>
      <c r="O170" t="str" cm="1">
        <f t="array" ref="O170">_xlfn.IFS(orders[[#This Row],[Customer Gender]] = "M", "Male",orders[[#This Row],[Customer Gender]] = "F", "Female",orders[[#This Row],[Customer Gender]] = "O", "Others",TRUE,"Unknown")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 - orders[[#This Row],[Order Date]]</f>
        <v>3</v>
      </c>
      <c r="N171">
        <f>WEEKNUM(orders[[#This Row],[Order Date]])</f>
        <v>2</v>
      </c>
      <c r="O171" t="str" cm="1">
        <f t="array" ref="O171">_xlfn.IFS(orders[[#This Row],[Customer Gender]] = "M", "Male",orders[[#This Row],[Customer Gender]] = "F", "Female",orders[[#This Row],[Customer Gender]] = "O", "Others",TRUE,"Unknown")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 - orders[[#This Row],[Order Date]]</f>
        <v>0</v>
      </c>
      <c r="N172">
        <f>WEEKNUM(orders[[#This Row],[Order Date]])</f>
        <v>2</v>
      </c>
      <c r="O172" t="str" cm="1">
        <f t="array" ref="O172">_xlfn.IFS(orders[[#This Row],[Customer Gender]] = "M", "Male",orders[[#This Row],[Customer Gender]] = "F", "Female",orders[[#This Row],[Customer Gender]] = "O", "Others",TRUE,"Unknown")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 - orders[[#This Row],[Order Date]]</f>
        <v>2</v>
      </c>
      <c r="N173">
        <f>WEEKNUM(orders[[#This Row],[Order Date]])</f>
        <v>2</v>
      </c>
      <c r="O173" t="str" cm="1">
        <f t="array" ref="O173">_xlfn.IFS(orders[[#This Row],[Customer Gender]] = "M", "Male",orders[[#This Row],[Customer Gender]] = "F", "Female",orders[[#This Row],[Customer Gender]] = "O", "Others",TRUE,"Unknown")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 - orders[[#This Row],[Order Date]]</f>
        <v>3</v>
      </c>
      <c r="N174">
        <f>WEEKNUM(orders[[#This Row],[Order Date]])</f>
        <v>2</v>
      </c>
      <c r="O174" t="str" cm="1">
        <f t="array" ref="O174">_xlfn.IFS(orders[[#This Row],[Customer Gender]] = "M", "Male",orders[[#This Row],[Customer Gender]] = "F", "Female",orders[[#This Row],[Customer Gender]] = "O", "Others",TRUE,"Unknown")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 - orders[[#This Row],[Order Date]]</f>
        <v>2</v>
      </c>
      <c r="N175">
        <f>WEEKNUM(orders[[#This Row],[Order Date]])</f>
        <v>2</v>
      </c>
      <c r="O175" t="str" cm="1">
        <f t="array" ref="O175">_xlfn.IFS(orders[[#This Row],[Customer Gender]] = "M", "Male",orders[[#This Row],[Customer Gender]] = "F", "Female",orders[[#This Row],[Customer Gender]] = "O", "Others",TRUE,"Unknown")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 - orders[[#This Row],[Order Date]]</f>
        <v>1</v>
      </c>
      <c r="N176">
        <f>WEEKNUM(orders[[#This Row],[Order Date]])</f>
        <v>2</v>
      </c>
      <c r="O176" t="str" cm="1">
        <f t="array" ref="O176">_xlfn.IFS(orders[[#This Row],[Customer Gender]] = "M", "Male",orders[[#This Row],[Customer Gender]] = "F", "Female",orders[[#This Row],[Customer Gender]] = "O", "Others",TRUE,"Unknown")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 - orders[[#This Row],[Order Date]]</f>
        <v>0</v>
      </c>
      <c r="N177">
        <f>WEEKNUM(orders[[#This Row],[Order Date]])</f>
        <v>2</v>
      </c>
      <c r="O177" t="str" cm="1">
        <f t="array" ref="O177">_xlfn.IFS(orders[[#This Row],[Customer Gender]] = "M", "Male",orders[[#This Row],[Customer Gender]] = "F", "Female",orders[[#This Row],[Customer Gender]] = "O", "Others",TRUE,"Unknown")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 - orders[[#This Row],[Order Date]]</f>
        <v>0</v>
      </c>
      <c r="N178">
        <f>WEEKNUM(orders[[#This Row],[Order Date]])</f>
        <v>2</v>
      </c>
      <c r="O178" t="str" cm="1">
        <f t="array" ref="O178">_xlfn.IFS(orders[[#This Row],[Customer Gender]] = "M", "Male",orders[[#This Row],[Customer Gender]] = "F", "Female",orders[[#This Row],[Customer Gender]] = "O", "Others",TRUE,"Unknown")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 - orders[[#This Row],[Order Date]]</f>
        <v>1</v>
      </c>
      <c r="N179">
        <f>WEEKNUM(orders[[#This Row],[Order Date]])</f>
        <v>2</v>
      </c>
      <c r="O179" t="str" cm="1">
        <f t="array" ref="O179">_xlfn.IFS(orders[[#This Row],[Customer Gender]] = "M", "Male",orders[[#This Row],[Customer Gender]] = "F", "Female",orders[[#This Row],[Customer Gender]] = "O", "Others",TRUE,"Unknown")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 - orders[[#This Row],[Order Date]]</f>
        <v>5</v>
      </c>
      <c r="N180">
        <f>WEEKNUM(orders[[#This Row],[Order Date]])</f>
        <v>2</v>
      </c>
      <c r="O180" t="str" cm="1">
        <f t="array" ref="O180">_xlfn.IFS(orders[[#This Row],[Customer Gender]] = "M", "Male",orders[[#This Row],[Customer Gender]] = "F", "Female",orders[[#This Row],[Customer Gender]] = "O", "Others",TRUE,"Unknown")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 - orders[[#This Row],[Order Date]]</f>
        <v>4</v>
      </c>
      <c r="N181">
        <f>WEEKNUM(orders[[#This Row],[Order Date]])</f>
        <v>2</v>
      </c>
      <c r="O181" t="str" cm="1">
        <f t="array" ref="O181">_xlfn.IFS(orders[[#This Row],[Customer Gender]] = "M", "Male",orders[[#This Row],[Customer Gender]] = "F", "Female",orders[[#This Row],[Customer Gender]] = "O", "Others",TRUE,"Unknown")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 - orders[[#This Row],[Order Date]]</f>
        <v>1</v>
      </c>
      <c r="N182">
        <f>WEEKNUM(orders[[#This Row],[Order Date]])</f>
        <v>2</v>
      </c>
      <c r="O182" t="str" cm="1">
        <f t="array" ref="O182">_xlfn.IFS(orders[[#This Row],[Customer Gender]] = "M", "Male",orders[[#This Row],[Customer Gender]] = "F", "Female",orders[[#This Row],[Customer Gender]] = "O", "Others",TRUE,"Unknown")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 - orders[[#This Row],[Order Date]]</f>
        <v>1</v>
      </c>
      <c r="N183">
        <f>WEEKNUM(orders[[#This Row],[Order Date]])</f>
        <v>2</v>
      </c>
      <c r="O183" t="str" cm="1">
        <f t="array" ref="O183">_xlfn.IFS(orders[[#This Row],[Customer Gender]] = "M", "Male",orders[[#This Row],[Customer Gender]] = "F", "Female",orders[[#This Row],[Customer Gender]] = "O", "Others",TRUE,"Unknown")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 - orders[[#This Row],[Order Date]]</f>
        <v>4</v>
      </c>
      <c r="N184">
        <f>WEEKNUM(orders[[#This Row],[Order Date]])</f>
        <v>2</v>
      </c>
      <c r="O184" t="str" cm="1">
        <f t="array" ref="O184">_xlfn.IFS(orders[[#This Row],[Customer Gender]] = "M", "Male",orders[[#This Row],[Customer Gender]] = "F", "Female",orders[[#This Row],[Customer Gender]] = "O", "Others",TRUE,"Unknown")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 - orders[[#This Row],[Order Date]]</f>
        <v>1</v>
      </c>
      <c r="N185">
        <f>WEEKNUM(orders[[#This Row],[Order Date]])</f>
        <v>2</v>
      </c>
      <c r="O185" t="str" cm="1">
        <f t="array" ref="O185">_xlfn.IFS(orders[[#This Row],[Customer Gender]] = "M", "Male",orders[[#This Row],[Customer Gender]] = "F", "Female",orders[[#This Row],[Customer Gender]] = "O", "Others",TRUE,"Unknown")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 - orders[[#This Row],[Order Date]]</f>
        <v>1</v>
      </c>
      <c r="N186">
        <f>WEEKNUM(orders[[#This Row],[Order Date]])</f>
        <v>2</v>
      </c>
      <c r="O186" t="str" cm="1">
        <f t="array" ref="O186">_xlfn.IFS(orders[[#This Row],[Customer Gender]] = "M", "Male",orders[[#This Row],[Customer Gender]] = "F", "Female",orders[[#This Row],[Customer Gender]] = "O", "Others",TRUE,"Unknown")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 - orders[[#This Row],[Order Date]]</f>
        <v>5</v>
      </c>
      <c r="N187">
        <f>WEEKNUM(orders[[#This Row],[Order Date]])</f>
        <v>2</v>
      </c>
      <c r="O187" t="str" cm="1">
        <f t="array" ref="O187">_xlfn.IFS(orders[[#This Row],[Customer Gender]] = "M", "Male",orders[[#This Row],[Customer Gender]] = "F", "Female",orders[[#This Row],[Customer Gender]] = "O", "Others",TRUE,"Unknown")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 - orders[[#This Row],[Order Date]]</f>
        <v>0</v>
      </c>
      <c r="N188">
        <f>WEEKNUM(orders[[#This Row],[Order Date]])</f>
        <v>2</v>
      </c>
      <c r="O188" t="str" cm="1">
        <f t="array" ref="O188">_xlfn.IFS(orders[[#This Row],[Customer Gender]] = "M", "Male",orders[[#This Row],[Customer Gender]] = "F", "Female",orders[[#This Row],[Customer Gender]] = "O", "Others",TRUE,"Unknown")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 - orders[[#This Row],[Order Date]]</f>
        <v>1</v>
      </c>
      <c r="N189">
        <f>WEEKNUM(orders[[#This Row],[Order Date]])</f>
        <v>2</v>
      </c>
      <c r="O189" t="str" cm="1">
        <f t="array" ref="O189">_xlfn.IFS(orders[[#This Row],[Customer Gender]] = "M", "Male",orders[[#This Row],[Customer Gender]] = "F", "Female",orders[[#This Row],[Customer Gender]] = "O", "Others",TRUE,"Unknown")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 - orders[[#This Row],[Order Date]]</f>
        <v>1</v>
      </c>
      <c r="N190">
        <f>WEEKNUM(orders[[#This Row],[Order Date]])</f>
        <v>2</v>
      </c>
      <c r="O190" t="str" cm="1">
        <f t="array" ref="O190">_xlfn.IFS(orders[[#This Row],[Customer Gender]] = "M", "Male",orders[[#This Row],[Customer Gender]] = "F", "Female",orders[[#This Row],[Customer Gender]] = "O", "Others",TRUE,"Unknown")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 - orders[[#This Row],[Order Date]]</f>
        <v>2</v>
      </c>
      <c r="N191">
        <f>WEEKNUM(orders[[#This Row],[Order Date]])</f>
        <v>2</v>
      </c>
      <c r="O191" t="str" cm="1">
        <f t="array" ref="O191">_xlfn.IFS(orders[[#This Row],[Customer Gender]] = "M", "Male",orders[[#This Row],[Customer Gender]] = "F", "Female",orders[[#This Row],[Customer Gender]] = "O", "Others",TRUE,"Unknown")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 - orders[[#This Row],[Order Date]]</f>
        <v>4</v>
      </c>
      <c r="N192">
        <f>WEEKNUM(orders[[#This Row],[Order Date]])</f>
        <v>2</v>
      </c>
      <c r="O192" t="str" cm="1">
        <f t="array" ref="O192">_xlfn.IFS(orders[[#This Row],[Customer Gender]] = "M", "Male",orders[[#This Row],[Customer Gender]] = "F", "Female",orders[[#This Row],[Customer Gender]] = "O", "Others",TRUE,"Unknown")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 - orders[[#This Row],[Order Date]]</f>
        <v>2</v>
      </c>
      <c r="N193">
        <f>WEEKNUM(orders[[#This Row],[Order Date]])</f>
        <v>2</v>
      </c>
      <c r="O193" t="str" cm="1">
        <f t="array" ref="O193">_xlfn.IFS(orders[[#This Row],[Customer Gender]] = "M", "Male",orders[[#This Row],[Customer Gender]] = "F", "Female",orders[[#This Row],[Customer Gender]] = "O", "Others",TRUE,"Unknown")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 - orders[[#This Row],[Order Date]]</f>
        <v>2</v>
      </c>
      <c r="N194">
        <f>WEEKNUM(orders[[#This Row],[Order Date]])</f>
        <v>2</v>
      </c>
      <c r="O194" t="str" cm="1">
        <f t="array" ref="O194">_xlfn.IFS(orders[[#This Row],[Customer Gender]] = "M", "Male",orders[[#This Row],[Customer Gender]] = "F", "Female",orders[[#This Row],[Customer Gender]] = "O", "Others",TRUE,"Unknown")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 - orders[[#This Row],[Order Date]]</f>
        <v>1</v>
      </c>
      <c r="N195">
        <f>WEEKNUM(orders[[#This Row],[Order Date]])</f>
        <v>2</v>
      </c>
      <c r="O195" t="str" cm="1">
        <f t="array" ref="O195">_xlfn.IFS(orders[[#This Row],[Customer Gender]] = "M", "Male",orders[[#This Row],[Customer Gender]] = "F", "Female",orders[[#This Row],[Customer Gender]] = "O", "Others",TRUE,"Unknown")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 - orders[[#This Row],[Order Date]]</f>
        <v>0</v>
      </c>
      <c r="N196">
        <f>WEEKNUM(orders[[#This Row],[Order Date]])</f>
        <v>2</v>
      </c>
      <c r="O196" t="str" cm="1">
        <f t="array" ref="O196">_xlfn.IFS(orders[[#This Row],[Customer Gender]] = "M", "Male",orders[[#This Row],[Customer Gender]] = "F", "Female",orders[[#This Row],[Customer Gender]] = "O", "Others",TRUE,"Unknown")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 - orders[[#This Row],[Order Date]]</f>
        <v>2</v>
      </c>
      <c r="N197">
        <f>WEEKNUM(orders[[#This Row],[Order Date]])</f>
        <v>2</v>
      </c>
      <c r="O197" t="str" cm="1">
        <f t="array" ref="O197">_xlfn.IFS(orders[[#This Row],[Customer Gender]] = "M", "Male",orders[[#This Row],[Customer Gender]] = "F", "Female",orders[[#This Row],[Customer Gender]] = "O", "Others",TRUE,"Unknown")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 - orders[[#This Row],[Order Date]]</f>
        <v>0</v>
      </c>
      <c r="N198">
        <f>WEEKNUM(orders[[#This Row],[Order Date]])</f>
        <v>2</v>
      </c>
      <c r="O198" t="str" cm="1">
        <f t="array" ref="O198">_xlfn.IFS(orders[[#This Row],[Customer Gender]] = "M", "Male",orders[[#This Row],[Customer Gender]] = "F", "Female",orders[[#This Row],[Customer Gender]] = "O", "Others",TRUE,"Unknown")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 - orders[[#This Row],[Order Date]]</f>
        <v>3</v>
      </c>
      <c r="N199">
        <f>WEEKNUM(orders[[#This Row],[Order Date]])</f>
        <v>2</v>
      </c>
      <c r="O199" t="str" cm="1">
        <f t="array" ref="O199">_xlfn.IFS(orders[[#This Row],[Customer Gender]] = "M", "Male",orders[[#This Row],[Customer Gender]] = "F", "Female",orders[[#This Row],[Customer Gender]] = "O", "Others",TRUE,"Unknown")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 - orders[[#This Row],[Order Date]]</f>
        <v>1</v>
      </c>
      <c r="N200">
        <f>WEEKNUM(orders[[#This Row],[Order Date]])</f>
        <v>2</v>
      </c>
      <c r="O200" t="str" cm="1">
        <f t="array" ref="O200">_xlfn.IFS(orders[[#This Row],[Customer Gender]] = "M", "Male",orders[[#This Row],[Customer Gender]] = "F", "Female",orders[[#This Row],[Customer Gender]] = "O", "Others",TRUE,"Unknown")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 - orders[[#This Row],[Order Date]]</f>
        <v>2</v>
      </c>
      <c r="N201">
        <f>WEEKNUM(orders[[#This Row],[Order Date]])</f>
        <v>2</v>
      </c>
      <c r="O201" t="str" cm="1">
        <f t="array" ref="O201">_xlfn.IFS(orders[[#This Row],[Customer Gender]] = "M", "Male",orders[[#This Row],[Customer Gender]] = "F", "Female",orders[[#This Row],[Customer Gender]] = "O", "Others",TRUE,"Unknown")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 - orders[[#This Row],[Order Date]]</f>
        <v>3</v>
      </c>
      <c r="N202">
        <f>WEEKNUM(orders[[#This Row],[Order Date]])</f>
        <v>2</v>
      </c>
      <c r="O202" t="str" cm="1">
        <f t="array" ref="O202">_xlfn.IFS(orders[[#This Row],[Customer Gender]] = "M", "Male",orders[[#This Row],[Customer Gender]] = "F", "Female",orders[[#This Row],[Customer Gender]] = "O", "Others",TRUE,"Unknown")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 - orders[[#This Row],[Order Date]]</f>
        <v>8</v>
      </c>
      <c r="N203">
        <f>WEEKNUM(orders[[#This Row],[Order Date]])</f>
        <v>2</v>
      </c>
      <c r="O203" t="str" cm="1">
        <f t="array" ref="O203">_xlfn.IFS(orders[[#This Row],[Customer Gender]] = "M", "Male",orders[[#This Row],[Customer Gender]] = "F", "Female",orders[[#This Row],[Customer Gender]] = "O", "Others",TRUE,"Unknown")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 - orders[[#This Row],[Order Date]]</f>
        <v>1</v>
      </c>
      <c r="N204">
        <f>WEEKNUM(orders[[#This Row],[Order Date]])</f>
        <v>2</v>
      </c>
      <c r="O204" t="str" cm="1">
        <f t="array" ref="O204">_xlfn.IFS(orders[[#This Row],[Customer Gender]] = "M", "Male",orders[[#This Row],[Customer Gender]] = "F", "Female",orders[[#This Row],[Customer Gender]] = "O", "Others",TRUE,"Unknown")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 - orders[[#This Row],[Order Date]]</f>
        <v>3</v>
      </c>
      <c r="N205">
        <f>WEEKNUM(orders[[#This Row],[Order Date]])</f>
        <v>2</v>
      </c>
      <c r="O205" t="str" cm="1">
        <f t="array" ref="O205">_xlfn.IFS(orders[[#This Row],[Customer Gender]] = "M", "Male",orders[[#This Row],[Customer Gender]] = "F", "Female",orders[[#This Row],[Customer Gender]] = "O", "Others",TRUE,"Unknown")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 - orders[[#This Row],[Order Date]]</f>
        <v>4</v>
      </c>
      <c r="N206">
        <f>WEEKNUM(orders[[#This Row],[Order Date]])</f>
        <v>2</v>
      </c>
      <c r="O206" t="str" cm="1">
        <f t="array" ref="O206">_xlfn.IFS(orders[[#This Row],[Customer Gender]] = "M", "Male",orders[[#This Row],[Customer Gender]] = "F", "Female",orders[[#This Row],[Customer Gender]] = "O", "Others",TRUE,"Unknown")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 - orders[[#This Row],[Order Date]]</f>
        <v>1</v>
      </c>
      <c r="N207">
        <f>WEEKNUM(orders[[#This Row],[Order Date]])</f>
        <v>2</v>
      </c>
      <c r="O207" t="str" cm="1">
        <f t="array" ref="O207">_xlfn.IFS(orders[[#This Row],[Customer Gender]] = "M", "Male",orders[[#This Row],[Customer Gender]] = "F", "Female",orders[[#This Row],[Customer Gender]] = "O", "Others",TRUE,"Unknown")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 - orders[[#This Row],[Order Date]]</f>
        <v>0</v>
      </c>
      <c r="N208">
        <f>WEEKNUM(orders[[#This Row],[Order Date]])</f>
        <v>2</v>
      </c>
      <c r="O208" t="str" cm="1">
        <f t="array" ref="O208">_xlfn.IFS(orders[[#This Row],[Customer Gender]] = "M", "Male",orders[[#This Row],[Customer Gender]] = "F", "Female",orders[[#This Row],[Customer Gender]] = "O", "Others",TRUE,"Unknown")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 - orders[[#This Row],[Order Date]]</f>
        <v>4</v>
      </c>
      <c r="N209">
        <f>WEEKNUM(orders[[#This Row],[Order Date]])</f>
        <v>2</v>
      </c>
      <c r="O209" t="str" cm="1">
        <f t="array" ref="O209">_xlfn.IFS(orders[[#This Row],[Customer Gender]] = "M", "Male",orders[[#This Row],[Customer Gender]] = "F", "Female",orders[[#This Row],[Customer Gender]] = "O", "Others",TRUE,"Unknown")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 - orders[[#This Row],[Order Date]]</f>
        <v>3</v>
      </c>
      <c r="N210">
        <f>WEEKNUM(orders[[#This Row],[Order Date]])</f>
        <v>2</v>
      </c>
      <c r="O210" t="str" cm="1">
        <f t="array" ref="O210">_xlfn.IFS(orders[[#This Row],[Customer Gender]] = "M", "Male",orders[[#This Row],[Customer Gender]] = "F", "Female",orders[[#This Row],[Customer Gender]] = "O", "Others",TRUE,"Unknown")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 - orders[[#This Row],[Order Date]]</f>
        <v>1</v>
      </c>
      <c r="N211">
        <f>WEEKNUM(orders[[#This Row],[Order Date]])</f>
        <v>2</v>
      </c>
      <c r="O211" t="str" cm="1">
        <f t="array" ref="O211">_xlfn.IFS(orders[[#This Row],[Customer Gender]] = "M", "Male",orders[[#This Row],[Customer Gender]] = "F", "Female",orders[[#This Row],[Customer Gender]] = "O", "Others",TRUE,"Unknown")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 - orders[[#This Row],[Order Date]]</f>
        <v>0</v>
      </c>
      <c r="N212">
        <f>WEEKNUM(orders[[#This Row],[Order Date]])</f>
        <v>2</v>
      </c>
      <c r="O212" t="str" cm="1">
        <f t="array" ref="O212">_xlfn.IFS(orders[[#This Row],[Customer Gender]] = "M", "Male",orders[[#This Row],[Customer Gender]] = "F", "Female",orders[[#This Row],[Customer Gender]] = "O", "Others",TRUE,"Unknown")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 - orders[[#This Row],[Order Date]]</f>
        <v>3</v>
      </c>
      <c r="N213">
        <f>WEEKNUM(orders[[#This Row],[Order Date]])</f>
        <v>2</v>
      </c>
      <c r="O213" t="str" cm="1">
        <f t="array" ref="O213">_xlfn.IFS(orders[[#This Row],[Customer Gender]] = "M", "Male",orders[[#This Row],[Customer Gender]] = "F", "Female",orders[[#This Row],[Customer Gender]] = "O", "Others",TRUE,"Unknown")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 - orders[[#This Row],[Order Date]]</f>
        <v>1</v>
      </c>
      <c r="N214">
        <f>WEEKNUM(orders[[#This Row],[Order Date]])</f>
        <v>2</v>
      </c>
      <c r="O214" t="str" cm="1">
        <f t="array" ref="O214">_xlfn.IFS(orders[[#This Row],[Customer Gender]] = "M", "Male",orders[[#This Row],[Customer Gender]] = "F", "Female",orders[[#This Row],[Customer Gender]] = "O", "Others",TRUE,"Unknown")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 - orders[[#This Row],[Order Date]]</f>
        <v>0</v>
      </c>
      <c r="N215">
        <f>WEEKNUM(orders[[#This Row],[Order Date]])</f>
        <v>2</v>
      </c>
      <c r="O215" t="str" cm="1">
        <f t="array" ref="O215">_xlfn.IFS(orders[[#This Row],[Customer Gender]] = "M", "Male",orders[[#This Row],[Customer Gender]] = "F", "Female",orders[[#This Row],[Customer Gender]] = "O", "Others",TRUE,"Unknown")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 - orders[[#This Row],[Order Date]]</f>
        <v>2</v>
      </c>
      <c r="N216">
        <f>WEEKNUM(orders[[#This Row],[Order Date]])</f>
        <v>2</v>
      </c>
      <c r="O216" t="str" cm="1">
        <f t="array" ref="O216">_xlfn.IFS(orders[[#This Row],[Customer Gender]] = "M", "Male",orders[[#This Row],[Customer Gender]] = "F", "Female",orders[[#This Row],[Customer Gender]] = "O", "Others",TRUE,"Unknown")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 - orders[[#This Row],[Order Date]]</f>
        <v>2</v>
      </c>
      <c r="N217">
        <f>WEEKNUM(orders[[#This Row],[Order Date]])</f>
        <v>2</v>
      </c>
      <c r="O217" t="str" cm="1">
        <f t="array" ref="O217">_xlfn.IFS(orders[[#This Row],[Customer Gender]] = "M", "Male",orders[[#This Row],[Customer Gender]] = "F", "Female",orders[[#This Row],[Customer Gender]] = "O", "Others",TRUE,"Unknown")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 - orders[[#This Row],[Order Date]]</f>
        <v>4</v>
      </c>
      <c r="N218">
        <f>WEEKNUM(orders[[#This Row],[Order Date]])</f>
        <v>2</v>
      </c>
      <c r="O218" t="str" cm="1">
        <f t="array" ref="O218">_xlfn.IFS(orders[[#This Row],[Customer Gender]] = "M", "Male",orders[[#This Row],[Customer Gender]] = "F", "Female",orders[[#This Row],[Customer Gender]] = "O", "Others",TRUE,"Unknown")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 - orders[[#This Row],[Order Date]]</f>
        <v>1</v>
      </c>
      <c r="N219">
        <f>WEEKNUM(orders[[#This Row],[Order Date]])</f>
        <v>2</v>
      </c>
      <c r="O219" t="str" cm="1">
        <f t="array" ref="O219">_xlfn.IFS(orders[[#This Row],[Customer Gender]] = "M", "Male",orders[[#This Row],[Customer Gender]] = "F", "Female",orders[[#This Row],[Customer Gender]] = "O", "Others",TRUE,"Unknown")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 - orders[[#This Row],[Order Date]]</f>
        <v>3</v>
      </c>
      <c r="N220">
        <f>WEEKNUM(orders[[#This Row],[Order Date]])</f>
        <v>2</v>
      </c>
      <c r="O220" t="str" cm="1">
        <f t="array" ref="O220">_xlfn.IFS(orders[[#This Row],[Customer Gender]] = "M", "Male",orders[[#This Row],[Customer Gender]] = "F", "Female",orders[[#This Row],[Customer Gender]] = "O", "Others",TRUE,"Unknown")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 - orders[[#This Row],[Order Date]]</f>
        <v>1</v>
      </c>
      <c r="N221">
        <f>WEEKNUM(orders[[#This Row],[Order Date]])</f>
        <v>2</v>
      </c>
      <c r="O221" t="str" cm="1">
        <f t="array" ref="O221">_xlfn.IFS(orders[[#This Row],[Customer Gender]] = "M", "Male",orders[[#This Row],[Customer Gender]] = "F", "Female",orders[[#This Row],[Customer Gender]] = "O", "Others",TRUE,"Unknown")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 - orders[[#This Row],[Order Date]]</f>
        <v>4</v>
      </c>
      <c r="N222">
        <f>WEEKNUM(orders[[#This Row],[Order Date]])</f>
        <v>2</v>
      </c>
      <c r="O222" t="str" cm="1">
        <f t="array" ref="O222">_xlfn.IFS(orders[[#This Row],[Customer Gender]] = "M", "Male",orders[[#This Row],[Customer Gender]] = "F", "Female",orders[[#This Row],[Customer Gender]] = "O", "Others",TRUE,"Unknown")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 - orders[[#This Row],[Order Date]]</f>
        <v>2</v>
      </c>
      <c r="N223">
        <f>WEEKNUM(orders[[#This Row],[Order Date]])</f>
        <v>2</v>
      </c>
      <c r="O223" t="str" cm="1">
        <f t="array" ref="O223">_xlfn.IFS(orders[[#This Row],[Customer Gender]] = "M", "Male",orders[[#This Row],[Customer Gender]] = "F", "Female",orders[[#This Row],[Customer Gender]] = "O", "Others",TRUE,"Unknown")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 - orders[[#This Row],[Order Date]]</f>
        <v>1</v>
      </c>
      <c r="N224">
        <f>WEEKNUM(orders[[#This Row],[Order Date]])</f>
        <v>2</v>
      </c>
      <c r="O224" t="str" cm="1">
        <f t="array" ref="O224">_xlfn.IFS(orders[[#This Row],[Customer Gender]] = "M", "Male",orders[[#This Row],[Customer Gender]] = "F", "Female",orders[[#This Row],[Customer Gender]] = "O", "Others",TRUE,"Unknown")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 - orders[[#This Row],[Order Date]]</f>
        <v>4</v>
      </c>
      <c r="N225">
        <f>WEEKNUM(orders[[#This Row],[Order Date]])</f>
        <v>2</v>
      </c>
      <c r="O225" t="str" cm="1">
        <f t="array" ref="O225">_xlfn.IFS(orders[[#This Row],[Customer Gender]] = "M", "Male",orders[[#This Row],[Customer Gender]] = "F", "Female",orders[[#This Row],[Customer Gender]] = "O", "Others",TRUE,"Unknown")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 - orders[[#This Row],[Order Date]]</f>
        <v>5</v>
      </c>
      <c r="N226">
        <f>WEEKNUM(orders[[#This Row],[Order Date]])</f>
        <v>2</v>
      </c>
      <c r="O226" t="str" cm="1">
        <f t="array" ref="O226">_xlfn.IFS(orders[[#This Row],[Customer Gender]] = "M", "Male",orders[[#This Row],[Customer Gender]] = "F", "Female",orders[[#This Row],[Customer Gender]] = "O", "Others",TRUE,"Unknown")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 - orders[[#This Row],[Order Date]]</f>
        <v>0</v>
      </c>
      <c r="N227">
        <f>WEEKNUM(orders[[#This Row],[Order Date]])</f>
        <v>2</v>
      </c>
      <c r="O227" t="str" cm="1">
        <f t="array" ref="O227">_xlfn.IFS(orders[[#This Row],[Customer Gender]] = "M", "Male",orders[[#This Row],[Customer Gender]] = "F", "Female",orders[[#This Row],[Customer Gender]] = "O", "Others",TRUE,"Unknown")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 - orders[[#This Row],[Order Date]]</f>
        <v>5</v>
      </c>
      <c r="N228">
        <f>WEEKNUM(orders[[#This Row],[Order Date]])</f>
        <v>2</v>
      </c>
      <c r="O228" t="str" cm="1">
        <f t="array" ref="O228">_xlfn.IFS(orders[[#This Row],[Customer Gender]] = "M", "Male",orders[[#This Row],[Customer Gender]] = "F", "Female",orders[[#This Row],[Customer Gender]] = "O", "Others",TRUE,"Unknown")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 - orders[[#This Row],[Order Date]]</f>
        <v>5</v>
      </c>
      <c r="N229">
        <f>WEEKNUM(orders[[#This Row],[Order Date]])</f>
        <v>2</v>
      </c>
      <c r="O229" t="str" cm="1">
        <f t="array" ref="O229">_xlfn.IFS(orders[[#This Row],[Customer Gender]] = "M", "Male",orders[[#This Row],[Customer Gender]] = "F", "Female",orders[[#This Row],[Customer Gender]] = "O", "Others",TRUE,"Unknown")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 - orders[[#This Row],[Order Date]]</f>
        <v>5</v>
      </c>
      <c r="N230">
        <f>WEEKNUM(orders[[#This Row],[Order Date]])</f>
        <v>2</v>
      </c>
      <c r="O230" t="str" cm="1">
        <f t="array" ref="O230">_xlfn.IFS(orders[[#This Row],[Customer Gender]] = "M", "Male",orders[[#This Row],[Customer Gender]] = "F", "Female",orders[[#This Row],[Customer Gender]] = "O", "Others",TRUE,"Unknown")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 - orders[[#This Row],[Order Date]]</f>
        <v>1</v>
      </c>
      <c r="N231">
        <f>WEEKNUM(orders[[#This Row],[Order Date]])</f>
        <v>2</v>
      </c>
      <c r="O231" t="str" cm="1">
        <f t="array" ref="O231">_xlfn.IFS(orders[[#This Row],[Customer Gender]] = "M", "Male",orders[[#This Row],[Customer Gender]] = "F", "Female",orders[[#This Row],[Customer Gender]] = "O", "Others",TRUE,"Unknown")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 - orders[[#This Row],[Order Date]]</f>
        <v>4</v>
      </c>
      <c r="N232">
        <f>WEEKNUM(orders[[#This Row],[Order Date]])</f>
        <v>2</v>
      </c>
      <c r="O232" t="str" cm="1">
        <f t="array" ref="O232">_xlfn.IFS(orders[[#This Row],[Customer Gender]] = "M", "Male",orders[[#This Row],[Customer Gender]] = "F", "Female",orders[[#This Row],[Customer Gender]] = "O", "Others",TRUE,"Unknown")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 - orders[[#This Row],[Order Date]]</f>
        <v>1</v>
      </c>
      <c r="N233">
        <f>WEEKNUM(orders[[#This Row],[Order Date]])</f>
        <v>2</v>
      </c>
      <c r="O233" t="str" cm="1">
        <f t="array" ref="O233">_xlfn.IFS(orders[[#This Row],[Customer Gender]] = "M", "Male",orders[[#This Row],[Customer Gender]] = "F", "Female",orders[[#This Row],[Customer Gender]] = "O", "Others",TRUE,"Unknown")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 - orders[[#This Row],[Order Date]]</f>
        <v>0</v>
      </c>
      <c r="N234">
        <f>WEEKNUM(orders[[#This Row],[Order Date]])</f>
        <v>2</v>
      </c>
      <c r="O234" t="str" cm="1">
        <f t="array" ref="O234">_xlfn.IFS(orders[[#This Row],[Customer Gender]] = "M", "Male",orders[[#This Row],[Customer Gender]] = "F", "Female",orders[[#This Row],[Customer Gender]] = "O", "Others",TRUE,"Unknown")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 - orders[[#This Row],[Order Date]]</f>
        <v>3</v>
      </c>
      <c r="N235">
        <f>WEEKNUM(orders[[#This Row],[Order Date]])</f>
        <v>2</v>
      </c>
      <c r="O235" t="str" cm="1">
        <f t="array" ref="O235">_xlfn.IFS(orders[[#This Row],[Customer Gender]] = "M", "Male",orders[[#This Row],[Customer Gender]] = "F", "Female",orders[[#This Row],[Customer Gender]] = "O", "Others",TRUE,"Unknown")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 - orders[[#This Row],[Order Date]]</f>
        <v>1</v>
      </c>
      <c r="N236">
        <f>WEEKNUM(orders[[#This Row],[Order Date]])</f>
        <v>2</v>
      </c>
      <c r="O236" t="str" cm="1">
        <f t="array" ref="O236">_xlfn.IFS(orders[[#This Row],[Customer Gender]] = "M", "Male",orders[[#This Row],[Customer Gender]] = "F", "Female",orders[[#This Row],[Customer Gender]] = "O", "Others",TRUE,"Unknown")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 - orders[[#This Row],[Order Date]]</f>
        <v>0</v>
      </c>
      <c r="N237">
        <f>WEEKNUM(orders[[#This Row],[Order Date]])</f>
        <v>2</v>
      </c>
      <c r="O237" t="str" cm="1">
        <f t="array" ref="O237">_xlfn.IFS(orders[[#This Row],[Customer Gender]] = "M", "Male",orders[[#This Row],[Customer Gender]] = "F", "Female",orders[[#This Row],[Customer Gender]] = "O", "Others",TRUE,"Unknown")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 - orders[[#This Row],[Order Date]]</f>
        <v>2</v>
      </c>
      <c r="N238">
        <f>WEEKNUM(orders[[#This Row],[Order Date]])</f>
        <v>2</v>
      </c>
      <c r="O238" t="str" cm="1">
        <f t="array" ref="O238">_xlfn.IFS(orders[[#This Row],[Customer Gender]] = "M", "Male",orders[[#This Row],[Customer Gender]] = "F", "Female",orders[[#This Row],[Customer Gender]] = "O", "Others",TRUE,"Unknown")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 - orders[[#This Row],[Order Date]]</f>
        <v>1</v>
      </c>
      <c r="N239">
        <f>WEEKNUM(orders[[#This Row],[Order Date]])</f>
        <v>2</v>
      </c>
      <c r="O239" t="str" cm="1">
        <f t="array" ref="O239">_xlfn.IFS(orders[[#This Row],[Customer Gender]] = "M", "Male",orders[[#This Row],[Customer Gender]] = "F", "Female",orders[[#This Row],[Customer Gender]] = "O", "Others",TRUE,"Unknown")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 - orders[[#This Row],[Order Date]]</f>
        <v>4</v>
      </c>
      <c r="N240">
        <f>WEEKNUM(orders[[#This Row],[Order Date]])</f>
        <v>2</v>
      </c>
      <c r="O240" t="str" cm="1">
        <f t="array" ref="O240">_xlfn.IFS(orders[[#This Row],[Customer Gender]] = "M", "Male",orders[[#This Row],[Customer Gender]] = "F", "Female",orders[[#This Row],[Customer Gender]] = "O", "Others",TRUE,"Unknown")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 - orders[[#This Row],[Order Date]]</f>
        <v>2</v>
      </c>
      <c r="N241">
        <f>WEEKNUM(orders[[#This Row],[Order Date]])</f>
        <v>2</v>
      </c>
      <c r="O241" t="str" cm="1">
        <f t="array" ref="O241">_xlfn.IFS(orders[[#This Row],[Customer Gender]] = "M", "Male",orders[[#This Row],[Customer Gender]] = "F", "Female",orders[[#This Row],[Customer Gender]] = "O", "Others",TRUE,"Unknown")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 - orders[[#This Row],[Order Date]]</f>
        <v>3</v>
      </c>
      <c r="N242">
        <f>WEEKNUM(orders[[#This Row],[Order Date]])</f>
        <v>2</v>
      </c>
      <c r="O242" t="str" cm="1">
        <f t="array" ref="O242">_xlfn.IFS(orders[[#This Row],[Customer Gender]] = "M", "Male",orders[[#This Row],[Customer Gender]] = "F", "Female",orders[[#This Row],[Customer Gender]] = "O", "Others",TRUE,"Unknown")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 - orders[[#This Row],[Order Date]]</f>
        <v>0</v>
      </c>
      <c r="N243">
        <f>WEEKNUM(orders[[#This Row],[Order Date]])</f>
        <v>2</v>
      </c>
      <c r="O243" t="str" cm="1">
        <f t="array" ref="O243">_xlfn.IFS(orders[[#This Row],[Customer Gender]] = "M", "Male",orders[[#This Row],[Customer Gender]] = "F", "Female",orders[[#This Row],[Customer Gender]] = "O", "Others",TRUE,"Unknown")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 - orders[[#This Row],[Order Date]]</f>
        <v>2</v>
      </c>
      <c r="N244">
        <f>WEEKNUM(orders[[#This Row],[Order Date]])</f>
        <v>2</v>
      </c>
      <c r="O244" t="str" cm="1">
        <f t="array" ref="O244">_xlfn.IFS(orders[[#This Row],[Customer Gender]] = "M", "Male",orders[[#This Row],[Customer Gender]] = "F", "Female",orders[[#This Row],[Customer Gender]] = "O", "Others",TRUE,"Unknown")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 - orders[[#This Row],[Order Date]]</f>
        <v>3</v>
      </c>
      <c r="N245">
        <f>WEEKNUM(orders[[#This Row],[Order Date]])</f>
        <v>2</v>
      </c>
      <c r="O245" t="str" cm="1">
        <f t="array" ref="O245">_xlfn.IFS(orders[[#This Row],[Customer Gender]] = "M", "Male",orders[[#This Row],[Customer Gender]] = "F", "Female",orders[[#This Row],[Customer Gender]] = "O", "Others",TRUE,"Unknown")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 - orders[[#This Row],[Order Date]]</f>
        <v>4</v>
      </c>
      <c r="N246">
        <f>WEEKNUM(orders[[#This Row],[Order Date]])</f>
        <v>2</v>
      </c>
      <c r="O246" t="str" cm="1">
        <f t="array" ref="O246">_xlfn.IFS(orders[[#This Row],[Customer Gender]] = "M", "Male",orders[[#This Row],[Customer Gender]] = "F", "Female",orders[[#This Row],[Customer Gender]] = "O", "Others",TRUE,"Unknown")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 - orders[[#This Row],[Order Date]]</f>
        <v>1</v>
      </c>
      <c r="N247">
        <f>WEEKNUM(orders[[#This Row],[Order Date]])</f>
        <v>2</v>
      </c>
      <c r="O247" t="str" cm="1">
        <f t="array" ref="O247">_xlfn.IFS(orders[[#This Row],[Customer Gender]] = "M", "Male",orders[[#This Row],[Customer Gender]] = "F", "Female",orders[[#This Row],[Customer Gender]] = "O", "Others",TRUE,"Unknown")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 - orders[[#This Row],[Order Date]]</f>
        <v>3</v>
      </c>
      <c r="N248">
        <f>WEEKNUM(orders[[#This Row],[Order Date]])</f>
        <v>2</v>
      </c>
      <c r="O248" t="str" cm="1">
        <f t="array" ref="O248">_xlfn.IFS(orders[[#This Row],[Customer Gender]] = "M", "Male",orders[[#This Row],[Customer Gender]] = "F", "Female",orders[[#This Row],[Customer Gender]] = "O", "Others",TRUE,"Unknown")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 - orders[[#This Row],[Order Date]]</f>
        <v>1</v>
      </c>
      <c r="N249">
        <f>WEEKNUM(orders[[#This Row],[Order Date]])</f>
        <v>2</v>
      </c>
      <c r="O249" t="str" cm="1">
        <f t="array" ref="O249">_xlfn.IFS(orders[[#This Row],[Customer Gender]] = "M", "Male",orders[[#This Row],[Customer Gender]] = "F", "Female",orders[[#This Row],[Customer Gender]] = "O", "Others",TRUE,"Unknown")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 - orders[[#This Row],[Order Date]]</f>
        <v>1</v>
      </c>
      <c r="N250">
        <f>WEEKNUM(orders[[#This Row],[Order Date]])</f>
        <v>2</v>
      </c>
      <c r="O250" t="str" cm="1">
        <f t="array" ref="O250">_xlfn.IFS(orders[[#This Row],[Customer Gender]] = "M", "Male",orders[[#This Row],[Customer Gender]] = "F", "Female",orders[[#This Row],[Customer Gender]] = "O", "Others",TRUE,"Unknown")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 - orders[[#This Row],[Order Date]]</f>
        <v>14</v>
      </c>
      <c r="N251">
        <f>WEEKNUM(orders[[#This Row],[Order Date]])</f>
        <v>2</v>
      </c>
      <c r="O251" t="str" cm="1">
        <f t="array" ref="O251">_xlfn.IFS(orders[[#This Row],[Customer Gender]] = "M", "Male",orders[[#This Row],[Customer Gender]] = "F", "Female",orders[[#This Row],[Customer Gender]] = "O", "Others",TRUE,"Unknown")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 - orders[[#This Row],[Order Date]]</f>
        <v>2</v>
      </c>
      <c r="N252">
        <f>WEEKNUM(orders[[#This Row],[Order Date]])</f>
        <v>2</v>
      </c>
      <c r="O252" t="str" cm="1">
        <f t="array" ref="O252">_xlfn.IFS(orders[[#This Row],[Customer Gender]] = "M", "Male",orders[[#This Row],[Customer Gender]] = "F", "Female",orders[[#This Row],[Customer Gender]] = "O", "Others",TRUE,"Unknown")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 - orders[[#This Row],[Order Date]]</f>
        <v>4</v>
      </c>
      <c r="N253">
        <f>WEEKNUM(orders[[#This Row],[Order Date]])</f>
        <v>2</v>
      </c>
      <c r="O253" t="str" cm="1">
        <f t="array" ref="O253">_xlfn.IFS(orders[[#This Row],[Customer Gender]] = "M", "Male",orders[[#This Row],[Customer Gender]] = "F", "Female",orders[[#This Row],[Customer Gender]] = "O", "Others",TRUE,"Unknown")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 - orders[[#This Row],[Order Date]]</f>
        <v>1</v>
      </c>
      <c r="N254">
        <f>WEEKNUM(orders[[#This Row],[Order Date]])</f>
        <v>2</v>
      </c>
      <c r="O254" t="str" cm="1">
        <f t="array" ref="O254">_xlfn.IFS(orders[[#This Row],[Customer Gender]] = "M", "Male",orders[[#This Row],[Customer Gender]] = "F", "Female",orders[[#This Row],[Customer Gender]] = "O", "Others",TRUE,"Unknown")</f>
        <v>Others</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 - orders[[#This Row],[Order Date]]</f>
        <v>1</v>
      </c>
      <c r="N255">
        <f>WEEKNUM(orders[[#This Row],[Order Date]])</f>
        <v>2</v>
      </c>
      <c r="O255" t="str" cm="1">
        <f t="array" ref="O255">_xlfn.IFS(orders[[#This Row],[Customer Gender]] = "M", "Male",orders[[#This Row],[Customer Gender]] = "F", "Female",orders[[#This Row],[Customer Gender]] = "O", "Others",TRUE,"Unknown")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 - orders[[#This Row],[Order Date]]</f>
        <v>8</v>
      </c>
      <c r="N256">
        <f>WEEKNUM(orders[[#This Row],[Order Date]])</f>
        <v>2</v>
      </c>
      <c r="O256" t="str" cm="1">
        <f t="array" ref="O256">_xlfn.IFS(orders[[#This Row],[Customer Gender]] = "M", "Male",orders[[#This Row],[Customer Gender]] = "F", "Female",orders[[#This Row],[Customer Gender]] = "O", "Others",TRUE,"Unknown")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 - orders[[#This Row],[Order Date]]</f>
        <v>2</v>
      </c>
      <c r="N257">
        <f>WEEKNUM(orders[[#This Row],[Order Date]])</f>
        <v>2</v>
      </c>
      <c r="O257" t="str" cm="1">
        <f t="array" ref="O257">_xlfn.IFS(orders[[#This Row],[Customer Gender]] = "M", "Male",orders[[#This Row],[Customer Gender]] = "F", "Female",orders[[#This Row],[Customer Gender]] = "O", "Others",TRUE,"Unknown")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 - orders[[#This Row],[Order Date]]</f>
        <v>1</v>
      </c>
      <c r="N258">
        <f>WEEKNUM(orders[[#This Row],[Order Date]])</f>
        <v>3</v>
      </c>
      <c r="O258" t="str" cm="1">
        <f t="array" ref="O258">_xlfn.IFS(orders[[#This Row],[Customer Gender]] = "M", "Male",orders[[#This Row],[Customer Gender]] = "F", "Female",orders[[#This Row],[Customer Gender]] = "O", "Others",TRUE,"Unknown")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 - orders[[#This Row],[Order Date]]</f>
        <v>5</v>
      </c>
      <c r="N259">
        <f>WEEKNUM(orders[[#This Row],[Order Date]])</f>
        <v>3</v>
      </c>
      <c r="O259" t="str" cm="1">
        <f t="array" ref="O259">_xlfn.IFS(orders[[#This Row],[Customer Gender]] = "M", "Male",orders[[#This Row],[Customer Gender]] = "F", "Female",orders[[#This Row],[Customer Gender]] = "O", "Others",TRUE,"Unknown")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 - orders[[#This Row],[Order Date]]</f>
        <v>1</v>
      </c>
      <c r="N260">
        <f>WEEKNUM(orders[[#This Row],[Order Date]])</f>
        <v>3</v>
      </c>
      <c r="O260" t="str" cm="1">
        <f t="array" ref="O260">_xlfn.IFS(orders[[#This Row],[Customer Gender]] = "M", "Male",orders[[#This Row],[Customer Gender]] = "F", "Female",orders[[#This Row],[Customer Gender]] = "O", "Others",TRUE,"Unknown")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 - orders[[#This Row],[Order Date]]</f>
        <v>3</v>
      </c>
      <c r="N261">
        <f>WEEKNUM(orders[[#This Row],[Order Date]])</f>
        <v>3</v>
      </c>
      <c r="O261" t="str" cm="1">
        <f t="array" ref="O261">_xlfn.IFS(orders[[#This Row],[Customer Gender]] = "M", "Male",orders[[#This Row],[Customer Gender]] = "F", "Female",orders[[#This Row],[Customer Gender]] = "O", "Others",TRUE,"Unknown")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 - orders[[#This Row],[Order Date]]</f>
        <v>3</v>
      </c>
      <c r="N262">
        <f>WEEKNUM(orders[[#This Row],[Order Date]])</f>
        <v>3</v>
      </c>
      <c r="O262" t="str" cm="1">
        <f t="array" ref="O262">_xlfn.IFS(orders[[#This Row],[Customer Gender]] = "M", "Male",orders[[#This Row],[Customer Gender]] = "F", "Female",orders[[#This Row],[Customer Gender]] = "O", "Others",TRUE,"Unknown")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 - orders[[#This Row],[Order Date]]</f>
        <v>2</v>
      </c>
      <c r="N263">
        <f>WEEKNUM(orders[[#This Row],[Order Date]])</f>
        <v>3</v>
      </c>
      <c r="O263" t="str" cm="1">
        <f t="array" ref="O263">_xlfn.IFS(orders[[#This Row],[Customer Gender]] = "M", "Male",orders[[#This Row],[Customer Gender]] = "F", "Female",orders[[#This Row],[Customer Gender]] = "O", "Others",TRUE,"Unknown")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 - orders[[#This Row],[Order Date]]</f>
        <v>1</v>
      </c>
      <c r="N264">
        <f>WEEKNUM(orders[[#This Row],[Order Date]])</f>
        <v>3</v>
      </c>
      <c r="O264" t="str" cm="1">
        <f t="array" ref="O264">_xlfn.IFS(orders[[#This Row],[Customer Gender]] = "M", "Male",orders[[#This Row],[Customer Gender]] = "F", "Female",orders[[#This Row],[Customer Gender]] = "O", "Others",TRUE,"Unknown")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 - orders[[#This Row],[Order Date]]</f>
        <v>2</v>
      </c>
      <c r="N265">
        <f>WEEKNUM(orders[[#This Row],[Order Date]])</f>
        <v>3</v>
      </c>
      <c r="O265" t="str" cm="1">
        <f t="array" ref="O265">_xlfn.IFS(orders[[#This Row],[Customer Gender]] = "M", "Male",orders[[#This Row],[Customer Gender]] = "F", "Female",orders[[#This Row],[Customer Gender]] = "O", "Others",TRUE,"Unknown")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 - orders[[#This Row],[Order Date]]</f>
        <v>0</v>
      </c>
      <c r="N266">
        <f>WEEKNUM(orders[[#This Row],[Order Date]])</f>
        <v>3</v>
      </c>
      <c r="O266" t="str" cm="1">
        <f t="array" ref="O266">_xlfn.IFS(orders[[#This Row],[Customer Gender]] = "M", "Male",orders[[#This Row],[Customer Gender]] = "F", "Female",orders[[#This Row],[Customer Gender]] = "O", "Others",TRUE,"Unknown")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 - orders[[#This Row],[Order Date]]</f>
        <v>1</v>
      </c>
      <c r="N267">
        <f>WEEKNUM(orders[[#This Row],[Order Date]])</f>
        <v>3</v>
      </c>
      <c r="O267" t="str" cm="1">
        <f t="array" ref="O267">_xlfn.IFS(orders[[#This Row],[Customer Gender]] = "M", "Male",orders[[#This Row],[Customer Gender]] = "F", "Female",orders[[#This Row],[Customer Gender]] = "O", "Others",TRUE,"Unknown")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 - orders[[#This Row],[Order Date]]</f>
        <v>1</v>
      </c>
      <c r="N268">
        <f>WEEKNUM(orders[[#This Row],[Order Date]])</f>
        <v>3</v>
      </c>
      <c r="O268" t="str" cm="1">
        <f t="array" ref="O268">_xlfn.IFS(orders[[#This Row],[Customer Gender]] = "M", "Male",orders[[#This Row],[Customer Gender]] = "F", "Female",orders[[#This Row],[Customer Gender]] = "O", "Others",TRUE,"Unknown")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 - orders[[#This Row],[Order Date]]</f>
        <v>3</v>
      </c>
      <c r="N269">
        <f>WEEKNUM(orders[[#This Row],[Order Date]])</f>
        <v>3</v>
      </c>
      <c r="O269" t="str" cm="1">
        <f t="array" ref="O269">_xlfn.IFS(orders[[#This Row],[Customer Gender]] = "M", "Male",orders[[#This Row],[Customer Gender]] = "F", "Female",orders[[#This Row],[Customer Gender]] = "O", "Others",TRUE,"Unknown")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 - orders[[#This Row],[Order Date]]</f>
        <v>4</v>
      </c>
      <c r="N270">
        <f>WEEKNUM(orders[[#This Row],[Order Date]])</f>
        <v>3</v>
      </c>
      <c r="O270" t="str" cm="1">
        <f t="array" ref="O270">_xlfn.IFS(orders[[#This Row],[Customer Gender]] = "M", "Male",orders[[#This Row],[Customer Gender]] = "F", "Female",orders[[#This Row],[Customer Gender]] = "O", "Others",TRUE,"Unknown")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 - orders[[#This Row],[Order Date]]</f>
        <v>1</v>
      </c>
      <c r="N271">
        <f>WEEKNUM(orders[[#This Row],[Order Date]])</f>
        <v>3</v>
      </c>
      <c r="O271" t="str" cm="1">
        <f t="array" ref="O271">_xlfn.IFS(orders[[#This Row],[Customer Gender]] = "M", "Male",orders[[#This Row],[Customer Gender]] = "F", "Female",orders[[#This Row],[Customer Gender]] = "O", "Others",TRUE,"Unknown")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 - orders[[#This Row],[Order Date]]</f>
        <v>1</v>
      </c>
      <c r="N272">
        <f>WEEKNUM(orders[[#This Row],[Order Date]])</f>
        <v>3</v>
      </c>
      <c r="O272" t="str" cm="1">
        <f t="array" ref="O272">_xlfn.IFS(orders[[#This Row],[Customer Gender]] = "M", "Male",orders[[#This Row],[Customer Gender]] = "F", "Female",orders[[#This Row],[Customer Gender]] = "O", "Others",TRUE,"Unknown")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 - orders[[#This Row],[Order Date]]</f>
        <v>4</v>
      </c>
      <c r="N273">
        <f>WEEKNUM(orders[[#This Row],[Order Date]])</f>
        <v>3</v>
      </c>
      <c r="O273" t="str" cm="1">
        <f t="array" ref="O273">_xlfn.IFS(orders[[#This Row],[Customer Gender]] = "M", "Male",orders[[#This Row],[Customer Gender]] = "F", "Female",orders[[#This Row],[Customer Gender]] = "O", "Others",TRUE,"Unknown")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 - orders[[#This Row],[Order Date]]</f>
        <v>1</v>
      </c>
      <c r="N274">
        <f>WEEKNUM(orders[[#This Row],[Order Date]])</f>
        <v>3</v>
      </c>
      <c r="O274" t="str" cm="1">
        <f t="array" ref="O274">_xlfn.IFS(orders[[#This Row],[Customer Gender]] = "M", "Male",orders[[#This Row],[Customer Gender]] = "F", "Female",orders[[#This Row],[Customer Gender]] = "O", "Others",TRUE,"Unknown")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 - orders[[#This Row],[Order Date]]</f>
        <v>1</v>
      </c>
      <c r="N275">
        <f>WEEKNUM(orders[[#This Row],[Order Date]])</f>
        <v>3</v>
      </c>
      <c r="O275" t="str" cm="1">
        <f t="array" ref="O275">_xlfn.IFS(orders[[#This Row],[Customer Gender]] = "M", "Male",orders[[#This Row],[Customer Gender]] = "F", "Female",orders[[#This Row],[Customer Gender]] = "O", "Others",TRUE,"Unknown")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 - orders[[#This Row],[Order Date]]</f>
        <v>1</v>
      </c>
      <c r="N276">
        <f>WEEKNUM(orders[[#This Row],[Order Date]])</f>
        <v>3</v>
      </c>
      <c r="O276" t="str" cm="1">
        <f t="array" ref="O276">_xlfn.IFS(orders[[#This Row],[Customer Gender]] = "M", "Male",orders[[#This Row],[Customer Gender]] = "F", "Female",orders[[#This Row],[Customer Gender]] = "O", "Others",TRUE,"Unknown")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 - orders[[#This Row],[Order Date]]</f>
        <v>3</v>
      </c>
      <c r="N277">
        <f>WEEKNUM(orders[[#This Row],[Order Date]])</f>
        <v>3</v>
      </c>
      <c r="O277" t="str" cm="1">
        <f t="array" ref="O277">_xlfn.IFS(orders[[#This Row],[Customer Gender]] = "M", "Male",orders[[#This Row],[Customer Gender]] = "F", "Female",orders[[#This Row],[Customer Gender]] = "O", "Others",TRUE,"Unknown")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 - orders[[#This Row],[Order Date]]</f>
        <v>7</v>
      </c>
      <c r="N278">
        <f>WEEKNUM(orders[[#This Row],[Order Date]])</f>
        <v>3</v>
      </c>
      <c r="O278" t="str" cm="1">
        <f t="array" ref="O278">_xlfn.IFS(orders[[#This Row],[Customer Gender]] = "M", "Male",orders[[#This Row],[Customer Gender]] = "F", "Female",orders[[#This Row],[Customer Gender]] = "O", "Others",TRUE,"Unknown")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 - orders[[#This Row],[Order Date]]</f>
        <v>1</v>
      </c>
      <c r="N279">
        <f>WEEKNUM(orders[[#This Row],[Order Date]])</f>
        <v>3</v>
      </c>
      <c r="O279" t="str" cm="1">
        <f t="array" ref="O279">_xlfn.IFS(orders[[#This Row],[Customer Gender]] = "M", "Male",orders[[#This Row],[Customer Gender]] = "F", "Female",orders[[#This Row],[Customer Gender]] = "O", "Others",TRUE,"Unknown")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 - orders[[#This Row],[Order Date]]</f>
        <v>2</v>
      </c>
      <c r="N280">
        <f>WEEKNUM(orders[[#This Row],[Order Date]])</f>
        <v>3</v>
      </c>
      <c r="O280" t="str" cm="1">
        <f t="array" ref="O280">_xlfn.IFS(orders[[#This Row],[Customer Gender]] = "M", "Male",orders[[#This Row],[Customer Gender]] = "F", "Female",orders[[#This Row],[Customer Gender]] = "O", "Others",TRUE,"Unknown")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 - orders[[#This Row],[Order Date]]</f>
        <v>3</v>
      </c>
      <c r="N281">
        <f>WEEKNUM(orders[[#This Row],[Order Date]])</f>
        <v>3</v>
      </c>
      <c r="O281" t="str" cm="1">
        <f t="array" ref="O281">_xlfn.IFS(orders[[#This Row],[Customer Gender]] = "M", "Male",orders[[#This Row],[Customer Gender]] = "F", "Female",orders[[#This Row],[Customer Gender]] = "O", "Others",TRUE,"Unknown")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 - orders[[#This Row],[Order Date]]</f>
        <v>1</v>
      </c>
      <c r="N282">
        <f>WEEKNUM(orders[[#This Row],[Order Date]])</f>
        <v>3</v>
      </c>
      <c r="O282" t="str" cm="1">
        <f t="array" ref="O282">_xlfn.IFS(orders[[#This Row],[Customer Gender]] = "M", "Male",orders[[#This Row],[Customer Gender]] = "F", "Female",orders[[#This Row],[Customer Gender]] = "O", "Others",TRUE,"Unknown")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 - orders[[#This Row],[Order Date]]</f>
        <v>5</v>
      </c>
      <c r="N283">
        <f>WEEKNUM(orders[[#This Row],[Order Date]])</f>
        <v>3</v>
      </c>
      <c r="O283" t="str" cm="1">
        <f t="array" ref="O283">_xlfn.IFS(orders[[#This Row],[Customer Gender]] = "M", "Male",orders[[#This Row],[Customer Gender]] = "F", "Female",orders[[#This Row],[Customer Gender]] = "O", "Others",TRUE,"Unknown")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 - orders[[#This Row],[Order Date]]</f>
        <v>1</v>
      </c>
      <c r="N284">
        <f>WEEKNUM(orders[[#This Row],[Order Date]])</f>
        <v>3</v>
      </c>
      <c r="O284" t="str" cm="1">
        <f t="array" ref="O284">_xlfn.IFS(orders[[#This Row],[Customer Gender]] = "M", "Male",orders[[#This Row],[Customer Gender]] = "F", "Female",orders[[#This Row],[Customer Gender]] = "O", "Others",TRUE,"Unknown")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 - orders[[#This Row],[Order Date]]</f>
        <v>0</v>
      </c>
      <c r="N285">
        <f>WEEKNUM(orders[[#This Row],[Order Date]])</f>
        <v>3</v>
      </c>
      <c r="O285" t="str" cm="1">
        <f t="array" ref="O285">_xlfn.IFS(orders[[#This Row],[Customer Gender]] = "M", "Male",orders[[#This Row],[Customer Gender]] = "F", "Female",orders[[#This Row],[Customer Gender]] = "O", "Others",TRUE,"Unknown")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 - orders[[#This Row],[Order Date]]</f>
        <v>1</v>
      </c>
      <c r="N286">
        <f>WEEKNUM(orders[[#This Row],[Order Date]])</f>
        <v>3</v>
      </c>
      <c r="O286" t="str" cm="1">
        <f t="array" ref="O286">_xlfn.IFS(orders[[#This Row],[Customer Gender]] = "M", "Male",orders[[#This Row],[Customer Gender]] = "F", "Female",orders[[#This Row],[Customer Gender]] = "O", "Others",TRUE,"Unknown")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 - orders[[#This Row],[Order Date]]</f>
        <v>1</v>
      </c>
      <c r="N287">
        <f>WEEKNUM(orders[[#This Row],[Order Date]])</f>
        <v>3</v>
      </c>
      <c r="O287" t="str" cm="1">
        <f t="array" ref="O287">_xlfn.IFS(orders[[#This Row],[Customer Gender]] = "M", "Male",orders[[#This Row],[Customer Gender]] = "F", "Female",orders[[#This Row],[Customer Gender]] = "O", "Others",TRUE,"Unknown")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 - orders[[#This Row],[Order Date]]</f>
        <v>3</v>
      </c>
      <c r="N288">
        <f>WEEKNUM(orders[[#This Row],[Order Date]])</f>
        <v>3</v>
      </c>
      <c r="O288" t="str" cm="1">
        <f t="array" ref="O288">_xlfn.IFS(orders[[#This Row],[Customer Gender]] = "M", "Male",orders[[#This Row],[Customer Gender]] = "F", "Female",orders[[#This Row],[Customer Gender]] = "O", "Others",TRUE,"Unknown")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 - orders[[#This Row],[Order Date]]</f>
        <v>1</v>
      </c>
      <c r="N289">
        <f>WEEKNUM(orders[[#This Row],[Order Date]])</f>
        <v>3</v>
      </c>
      <c r="O289" t="str" cm="1">
        <f t="array" ref="O289">_xlfn.IFS(orders[[#This Row],[Customer Gender]] = "M", "Male",orders[[#This Row],[Customer Gender]] = "F", "Female",orders[[#This Row],[Customer Gender]] = "O", "Others",TRUE,"Unknown")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 - orders[[#This Row],[Order Date]]</f>
        <v>1</v>
      </c>
      <c r="N290">
        <f>WEEKNUM(orders[[#This Row],[Order Date]])</f>
        <v>3</v>
      </c>
      <c r="O290" t="str" cm="1">
        <f t="array" ref="O290">_xlfn.IFS(orders[[#This Row],[Customer Gender]] = "M", "Male",orders[[#This Row],[Customer Gender]] = "F", "Female",orders[[#This Row],[Customer Gender]] = "O", "Others",TRUE,"Unknown")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 - orders[[#This Row],[Order Date]]</f>
        <v>1</v>
      </c>
      <c r="N291">
        <f>WEEKNUM(orders[[#This Row],[Order Date]])</f>
        <v>3</v>
      </c>
      <c r="O291" t="str" cm="1">
        <f t="array" ref="O291">_xlfn.IFS(orders[[#This Row],[Customer Gender]] = "M", "Male",orders[[#This Row],[Customer Gender]] = "F", "Female",orders[[#This Row],[Customer Gender]] = "O", "Others",TRUE,"Unknown")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 - orders[[#This Row],[Order Date]]</f>
        <v>4</v>
      </c>
      <c r="N292">
        <f>WEEKNUM(orders[[#This Row],[Order Date]])</f>
        <v>3</v>
      </c>
      <c r="O292" t="str" cm="1">
        <f t="array" ref="O292">_xlfn.IFS(orders[[#This Row],[Customer Gender]] = "M", "Male",orders[[#This Row],[Customer Gender]] = "F", "Female",orders[[#This Row],[Customer Gender]] = "O", "Others",TRUE,"Unknown")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 - orders[[#This Row],[Order Date]]</f>
        <v>4</v>
      </c>
      <c r="N293">
        <f>WEEKNUM(orders[[#This Row],[Order Date]])</f>
        <v>3</v>
      </c>
      <c r="O293" t="str" cm="1">
        <f t="array" ref="O293">_xlfn.IFS(orders[[#This Row],[Customer Gender]] = "M", "Male",orders[[#This Row],[Customer Gender]] = "F", "Female",orders[[#This Row],[Customer Gender]] = "O", "Others",TRUE,"Unknown")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 - orders[[#This Row],[Order Date]]</f>
        <v>2</v>
      </c>
      <c r="N294">
        <f>WEEKNUM(orders[[#This Row],[Order Date]])</f>
        <v>3</v>
      </c>
      <c r="O294" t="str" cm="1">
        <f t="array" ref="O294">_xlfn.IFS(orders[[#This Row],[Customer Gender]] = "M", "Male",orders[[#This Row],[Customer Gender]] = "F", "Female",orders[[#This Row],[Customer Gender]] = "O", "Others",TRUE,"Unknown")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 - orders[[#This Row],[Order Date]]</f>
        <v>1</v>
      </c>
      <c r="N295">
        <f>WEEKNUM(orders[[#This Row],[Order Date]])</f>
        <v>3</v>
      </c>
      <c r="O295" t="str" cm="1">
        <f t="array" ref="O295">_xlfn.IFS(orders[[#This Row],[Customer Gender]] = "M", "Male",orders[[#This Row],[Customer Gender]] = "F", "Female",orders[[#This Row],[Customer Gender]] = "O", "Others",TRUE,"Unknown")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 - orders[[#This Row],[Order Date]]</f>
        <v>2</v>
      </c>
      <c r="N296">
        <f>WEEKNUM(orders[[#This Row],[Order Date]])</f>
        <v>3</v>
      </c>
      <c r="O296" t="str" cm="1">
        <f t="array" ref="O296">_xlfn.IFS(orders[[#This Row],[Customer Gender]] = "M", "Male",orders[[#This Row],[Customer Gender]] = "F", "Female",orders[[#This Row],[Customer Gender]] = "O", "Others",TRUE,"Unknown")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 - orders[[#This Row],[Order Date]]</f>
        <v>3</v>
      </c>
      <c r="N297">
        <f>WEEKNUM(orders[[#This Row],[Order Date]])</f>
        <v>3</v>
      </c>
      <c r="O297" t="str" cm="1">
        <f t="array" ref="O297">_xlfn.IFS(orders[[#This Row],[Customer Gender]] = "M", "Male",orders[[#This Row],[Customer Gender]] = "F", "Female",orders[[#This Row],[Customer Gender]] = "O", "Others",TRUE,"Unknown")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 - orders[[#This Row],[Order Date]]</f>
        <v>13</v>
      </c>
      <c r="N298">
        <f>WEEKNUM(orders[[#This Row],[Order Date]])</f>
        <v>3</v>
      </c>
      <c r="O298" t="str" cm="1">
        <f t="array" ref="O298">_xlfn.IFS(orders[[#This Row],[Customer Gender]] = "M", "Male",orders[[#This Row],[Customer Gender]] = "F", "Female",orders[[#This Row],[Customer Gender]] = "O", "Others",TRUE,"Unknown")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 - orders[[#This Row],[Order Date]]</f>
        <v>2</v>
      </c>
      <c r="N299">
        <f>WEEKNUM(orders[[#This Row],[Order Date]])</f>
        <v>3</v>
      </c>
      <c r="O299" t="str" cm="1">
        <f t="array" ref="O299">_xlfn.IFS(orders[[#This Row],[Customer Gender]] = "M", "Male",orders[[#This Row],[Customer Gender]] = "F", "Female",orders[[#This Row],[Customer Gender]] = "O", "Others",TRUE,"Unknown")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 - orders[[#This Row],[Order Date]]</f>
        <v>2</v>
      </c>
      <c r="N300">
        <f>WEEKNUM(orders[[#This Row],[Order Date]])</f>
        <v>3</v>
      </c>
      <c r="O300" t="str" cm="1">
        <f t="array" ref="O300">_xlfn.IFS(orders[[#This Row],[Customer Gender]] = "M", "Male",orders[[#This Row],[Customer Gender]] = "F", "Female",orders[[#This Row],[Customer Gender]] = "O", "Others",TRUE,"Unknown")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 - orders[[#This Row],[Order Date]]</f>
        <v>1</v>
      </c>
      <c r="N301">
        <f>WEEKNUM(orders[[#This Row],[Order Date]])</f>
        <v>3</v>
      </c>
      <c r="O301" t="str" cm="1">
        <f t="array" ref="O301">_xlfn.IFS(orders[[#This Row],[Customer Gender]] = "M", "Male",orders[[#This Row],[Customer Gender]] = "F", "Female",orders[[#This Row],[Customer Gender]] = "O", "Others",TRUE,"Unknown")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 - orders[[#This Row],[Order Date]]</f>
        <v>4</v>
      </c>
      <c r="N302">
        <f>WEEKNUM(orders[[#This Row],[Order Date]])</f>
        <v>3</v>
      </c>
      <c r="O302" t="str" cm="1">
        <f t="array" ref="O302">_xlfn.IFS(orders[[#This Row],[Customer Gender]] = "M", "Male",orders[[#This Row],[Customer Gender]] = "F", "Female",orders[[#This Row],[Customer Gender]] = "O", "Others",TRUE,"Unknown")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 - orders[[#This Row],[Order Date]]</f>
        <v>2</v>
      </c>
      <c r="N303">
        <f>WEEKNUM(orders[[#This Row],[Order Date]])</f>
        <v>3</v>
      </c>
      <c r="O303" t="str" cm="1">
        <f t="array" ref="O303">_xlfn.IFS(orders[[#This Row],[Customer Gender]] = "M", "Male",orders[[#This Row],[Customer Gender]] = "F", "Female",orders[[#This Row],[Customer Gender]] = "O", "Others",TRUE,"Unknown")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 - orders[[#This Row],[Order Date]]</f>
        <v>2</v>
      </c>
      <c r="N304">
        <f>WEEKNUM(orders[[#This Row],[Order Date]])</f>
        <v>3</v>
      </c>
      <c r="O304" t="str" cm="1">
        <f t="array" ref="O304">_xlfn.IFS(orders[[#This Row],[Customer Gender]] = "M", "Male",orders[[#This Row],[Customer Gender]] = "F", "Female",orders[[#This Row],[Customer Gender]] = "O", "Others",TRUE,"Unknown")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 - orders[[#This Row],[Order Date]]</f>
        <v>1</v>
      </c>
      <c r="N305">
        <f>WEEKNUM(orders[[#This Row],[Order Date]])</f>
        <v>3</v>
      </c>
      <c r="O305" t="str" cm="1">
        <f t="array" ref="O305">_xlfn.IFS(orders[[#This Row],[Customer Gender]] = "M", "Male",orders[[#This Row],[Customer Gender]] = "F", "Female",orders[[#This Row],[Customer Gender]] = "O", "Others",TRUE,"Unknown")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 - orders[[#This Row],[Order Date]]</f>
        <v>0</v>
      </c>
      <c r="N306">
        <f>WEEKNUM(orders[[#This Row],[Order Date]])</f>
        <v>3</v>
      </c>
      <c r="O306" t="str" cm="1">
        <f t="array" ref="O306">_xlfn.IFS(orders[[#This Row],[Customer Gender]] = "M", "Male",orders[[#This Row],[Customer Gender]] = "F", "Female",orders[[#This Row],[Customer Gender]] = "O", "Others",TRUE,"Unknown")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 - orders[[#This Row],[Order Date]]</f>
        <v>1</v>
      </c>
      <c r="N307">
        <f>WEEKNUM(orders[[#This Row],[Order Date]])</f>
        <v>3</v>
      </c>
      <c r="O307" t="str" cm="1">
        <f t="array" ref="O307">_xlfn.IFS(orders[[#This Row],[Customer Gender]] = "M", "Male",orders[[#This Row],[Customer Gender]] = "F", "Female",orders[[#This Row],[Customer Gender]] = "O", "Others",TRUE,"Unknown")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 - orders[[#This Row],[Order Date]]</f>
        <v>3</v>
      </c>
      <c r="N308">
        <f>WEEKNUM(orders[[#This Row],[Order Date]])</f>
        <v>3</v>
      </c>
      <c r="O308" t="str" cm="1">
        <f t="array" ref="O308">_xlfn.IFS(orders[[#This Row],[Customer Gender]] = "M", "Male",orders[[#This Row],[Customer Gender]] = "F", "Female",orders[[#This Row],[Customer Gender]] = "O", "Others",TRUE,"Unknown")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 - orders[[#This Row],[Order Date]]</f>
        <v>5</v>
      </c>
      <c r="N309">
        <f>WEEKNUM(orders[[#This Row],[Order Date]])</f>
        <v>3</v>
      </c>
      <c r="O309" t="str" cm="1">
        <f t="array" ref="O309">_xlfn.IFS(orders[[#This Row],[Customer Gender]] = "M", "Male",orders[[#This Row],[Customer Gender]] = "F", "Female",orders[[#This Row],[Customer Gender]] = "O", "Others",TRUE,"Unknown")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 - orders[[#This Row],[Order Date]]</f>
        <v>1</v>
      </c>
      <c r="N310">
        <f>WEEKNUM(orders[[#This Row],[Order Date]])</f>
        <v>3</v>
      </c>
      <c r="O310" t="str" cm="1">
        <f t="array" ref="O310">_xlfn.IFS(orders[[#This Row],[Customer Gender]] = "M", "Male",orders[[#This Row],[Customer Gender]] = "F", "Female",orders[[#This Row],[Customer Gender]] = "O", "Others",TRUE,"Unknown")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 - orders[[#This Row],[Order Date]]</f>
        <v>0</v>
      </c>
      <c r="N311">
        <f>WEEKNUM(orders[[#This Row],[Order Date]])</f>
        <v>3</v>
      </c>
      <c r="O311" t="str" cm="1">
        <f t="array" ref="O311">_xlfn.IFS(orders[[#This Row],[Customer Gender]] = "M", "Male",orders[[#This Row],[Customer Gender]] = "F", "Female",orders[[#This Row],[Customer Gender]] = "O", "Others",TRUE,"Unknown")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 - orders[[#This Row],[Order Date]]</f>
        <v>1</v>
      </c>
      <c r="N312">
        <f>WEEKNUM(orders[[#This Row],[Order Date]])</f>
        <v>3</v>
      </c>
      <c r="O312" t="str" cm="1">
        <f t="array" ref="O312">_xlfn.IFS(orders[[#This Row],[Customer Gender]] = "M", "Male",orders[[#This Row],[Customer Gender]] = "F", "Female",orders[[#This Row],[Customer Gender]] = "O", "Others",TRUE,"Unknown")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 - orders[[#This Row],[Order Date]]</f>
        <v>4</v>
      </c>
      <c r="N313">
        <f>WEEKNUM(orders[[#This Row],[Order Date]])</f>
        <v>3</v>
      </c>
      <c r="O313" t="str" cm="1">
        <f t="array" ref="O313">_xlfn.IFS(orders[[#This Row],[Customer Gender]] = "M", "Male",orders[[#This Row],[Customer Gender]] = "F", "Female",orders[[#This Row],[Customer Gender]] = "O", "Others",TRUE,"Unknown")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 - orders[[#This Row],[Order Date]]</f>
        <v>1</v>
      </c>
      <c r="N314">
        <f>WEEKNUM(orders[[#This Row],[Order Date]])</f>
        <v>3</v>
      </c>
      <c r="O314" t="str" cm="1">
        <f t="array" ref="O314">_xlfn.IFS(orders[[#This Row],[Customer Gender]] = "M", "Male",orders[[#This Row],[Customer Gender]] = "F", "Female",orders[[#This Row],[Customer Gender]] = "O", "Others",TRUE,"Unknown")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 - orders[[#This Row],[Order Date]]</f>
        <v>1</v>
      </c>
      <c r="N315">
        <f>WEEKNUM(orders[[#This Row],[Order Date]])</f>
        <v>3</v>
      </c>
      <c r="O315" t="str" cm="1">
        <f t="array" ref="O315">_xlfn.IFS(orders[[#This Row],[Customer Gender]] = "M", "Male",orders[[#This Row],[Customer Gender]] = "F", "Female",orders[[#This Row],[Customer Gender]] = "O", "Others",TRUE,"Unknown")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 - orders[[#This Row],[Order Date]]</f>
        <v>3</v>
      </c>
      <c r="N316">
        <f>WEEKNUM(orders[[#This Row],[Order Date]])</f>
        <v>3</v>
      </c>
      <c r="O316" t="str" cm="1">
        <f t="array" ref="O316">_xlfn.IFS(orders[[#This Row],[Customer Gender]] = "M", "Male",orders[[#This Row],[Customer Gender]] = "F", "Female",orders[[#This Row],[Customer Gender]] = "O", "Others",TRUE,"Unknown")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 - orders[[#This Row],[Order Date]]</f>
        <v>2</v>
      </c>
      <c r="N317">
        <f>WEEKNUM(orders[[#This Row],[Order Date]])</f>
        <v>3</v>
      </c>
      <c r="O317" t="str" cm="1">
        <f t="array" ref="O317">_xlfn.IFS(orders[[#This Row],[Customer Gender]] = "M", "Male",orders[[#This Row],[Customer Gender]] = "F", "Female",orders[[#This Row],[Customer Gender]] = "O", "Others",TRUE,"Unknown")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 - orders[[#This Row],[Order Date]]</f>
        <v>1</v>
      </c>
      <c r="N318">
        <f>WEEKNUM(orders[[#This Row],[Order Date]])</f>
        <v>3</v>
      </c>
      <c r="O318" t="str" cm="1">
        <f t="array" ref="O318">_xlfn.IFS(orders[[#This Row],[Customer Gender]] = "M", "Male",orders[[#This Row],[Customer Gender]] = "F", "Female",orders[[#This Row],[Customer Gender]] = "O", "Others",TRUE,"Unknown")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 - orders[[#This Row],[Order Date]]</f>
        <v>1</v>
      </c>
      <c r="N319">
        <f>WEEKNUM(orders[[#This Row],[Order Date]])</f>
        <v>3</v>
      </c>
      <c r="O319" t="str" cm="1">
        <f t="array" ref="O319">_xlfn.IFS(orders[[#This Row],[Customer Gender]] = "M", "Male",orders[[#This Row],[Customer Gender]] = "F", "Female",orders[[#This Row],[Customer Gender]] = "O", "Others",TRUE,"Unknown")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 - orders[[#This Row],[Order Date]]</f>
        <v>3</v>
      </c>
      <c r="N320">
        <f>WEEKNUM(orders[[#This Row],[Order Date]])</f>
        <v>3</v>
      </c>
      <c r="O320" t="str" cm="1">
        <f t="array" ref="O320">_xlfn.IFS(orders[[#This Row],[Customer Gender]] = "M", "Male",orders[[#This Row],[Customer Gender]] = "F", "Female",orders[[#This Row],[Customer Gender]] = "O", "Others",TRUE,"Unknown")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 - orders[[#This Row],[Order Date]]</f>
        <v>4</v>
      </c>
      <c r="N321">
        <f>WEEKNUM(orders[[#This Row],[Order Date]])</f>
        <v>3</v>
      </c>
      <c r="O321" t="str" cm="1">
        <f t="array" ref="O321">_xlfn.IFS(orders[[#This Row],[Customer Gender]] = "M", "Male",orders[[#This Row],[Customer Gender]] = "F", "Female",orders[[#This Row],[Customer Gender]] = "O", "Others",TRUE,"Unknown")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 - orders[[#This Row],[Order Date]]</f>
        <v>2</v>
      </c>
      <c r="N322">
        <f>WEEKNUM(orders[[#This Row],[Order Date]])</f>
        <v>3</v>
      </c>
      <c r="O322" t="str" cm="1">
        <f t="array" ref="O322">_xlfn.IFS(orders[[#This Row],[Customer Gender]] = "M", "Male",orders[[#This Row],[Customer Gender]] = "F", "Female",orders[[#This Row],[Customer Gender]] = "O", "Others",TRUE,"Unknown")</f>
        <v>Others</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 - orders[[#This Row],[Order Date]]</f>
        <v>7</v>
      </c>
      <c r="N323">
        <f>WEEKNUM(orders[[#This Row],[Order Date]])</f>
        <v>3</v>
      </c>
      <c r="O323" t="str" cm="1">
        <f t="array" ref="O323">_xlfn.IFS(orders[[#This Row],[Customer Gender]] = "M", "Male",orders[[#This Row],[Customer Gender]] = "F", "Female",orders[[#This Row],[Customer Gender]] = "O", "Others",TRUE,"Unknown")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 - orders[[#This Row],[Order Date]]</f>
        <v>1</v>
      </c>
      <c r="N324">
        <f>WEEKNUM(orders[[#This Row],[Order Date]])</f>
        <v>3</v>
      </c>
      <c r="O324" t="str" cm="1">
        <f t="array" ref="O324">_xlfn.IFS(orders[[#This Row],[Customer Gender]] = "M", "Male",orders[[#This Row],[Customer Gender]] = "F", "Female",orders[[#This Row],[Customer Gender]] = "O", "Others",TRUE,"Unknown")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 - orders[[#This Row],[Order Date]]</f>
        <v>6</v>
      </c>
      <c r="N325">
        <f>WEEKNUM(orders[[#This Row],[Order Date]])</f>
        <v>3</v>
      </c>
      <c r="O325" t="str" cm="1">
        <f t="array" ref="O325">_xlfn.IFS(orders[[#This Row],[Customer Gender]] = "M", "Male",orders[[#This Row],[Customer Gender]] = "F", "Female",orders[[#This Row],[Customer Gender]] = "O", "Others",TRUE,"Unknown")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 - orders[[#This Row],[Order Date]]</f>
        <v>1</v>
      </c>
      <c r="N326">
        <f>WEEKNUM(orders[[#This Row],[Order Date]])</f>
        <v>3</v>
      </c>
      <c r="O326" t="str" cm="1">
        <f t="array" ref="O326">_xlfn.IFS(orders[[#This Row],[Customer Gender]] = "M", "Male",orders[[#This Row],[Customer Gender]] = "F", "Female",orders[[#This Row],[Customer Gender]] = "O", "Others",TRUE,"Unknown")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 - orders[[#This Row],[Order Date]]</f>
        <v>0</v>
      </c>
      <c r="N327">
        <f>WEEKNUM(orders[[#This Row],[Order Date]])</f>
        <v>3</v>
      </c>
      <c r="O327" t="str" cm="1">
        <f t="array" ref="O327">_xlfn.IFS(orders[[#This Row],[Customer Gender]] = "M", "Male",orders[[#This Row],[Customer Gender]] = "F", "Female",orders[[#This Row],[Customer Gender]] = "O", "Others",TRUE,"Unknown")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 - orders[[#This Row],[Order Date]]</f>
        <v>2</v>
      </c>
      <c r="N328">
        <f>WEEKNUM(orders[[#This Row],[Order Date]])</f>
        <v>3</v>
      </c>
      <c r="O328" t="str" cm="1">
        <f t="array" ref="O328">_xlfn.IFS(orders[[#This Row],[Customer Gender]] = "M", "Male",orders[[#This Row],[Customer Gender]] = "F", "Female",orders[[#This Row],[Customer Gender]] = "O", "Others",TRUE,"Unknown")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 - orders[[#This Row],[Order Date]]</f>
        <v>1</v>
      </c>
      <c r="N329">
        <f>WEEKNUM(orders[[#This Row],[Order Date]])</f>
        <v>3</v>
      </c>
      <c r="O329" t="str" cm="1">
        <f t="array" ref="O329">_xlfn.IFS(orders[[#This Row],[Customer Gender]] = "M", "Male",orders[[#This Row],[Customer Gender]] = "F", "Female",orders[[#This Row],[Customer Gender]] = "O", "Others",TRUE,"Unknown")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 - orders[[#This Row],[Order Date]]</f>
        <v>3</v>
      </c>
      <c r="N330">
        <f>WEEKNUM(orders[[#This Row],[Order Date]])</f>
        <v>3</v>
      </c>
      <c r="O330" t="str" cm="1">
        <f t="array" ref="O330">_xlfn.IFS(orders[[#This Row],[Customer Gender]] = "M", "Male",orders[[#This Row],[Customer Gender]] = "F", "Female",orders[[#This Row],[Customer Gender]] = "O", "Others",TRUE,"Unknown")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 - orders[[#This Row],[Order Date]]</f>
        <v>1</v>
      </c>
      <c r="N331">
        <f>WEEKNUM(orders[[#This Row],[Order Date]])</f>
        <v>3</v>
      </c>
      <c r="O331" t="str" cm="1">
        <f t="array" ref="O331">_xlfn.IFS(orders[[#This Row],[Customer Gender]] = "M", "Male",orders[[#This Row],[Customer Gender]] = "F", "Female",orders[[#This Row],[Customer Gender]] = "O", "Others",TRUE,"Unknown")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 - orders[[#This Row],[Order Date]]</f>
        <v>1</v>
      </c>
      <c r="N332">
        <f>WEEKNUM(orders[[#This Row],[Order Date]])</f>
        <v>3</v>
      </c>
      <c r="O332" t="str" cm="1">
        <f t="array" ref="O332">_xlfn.IFS(orders[[#This Row],[Customer Gender]] = "M", "Male",orders[[#This Row],[Customer Gender]] = "F", "Female",orders[[#This Row],[Customer Gender]] = "O", "Others",TRUE,"Unknown")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 - orders[[#This Row],[Order Date]]</f>
        <v>1</v>
      </c>
      <c r="N333">
        <f>WEEKNUM(orders[[#This Row],[Order Date]])</f>
        <v>3</v>
      </c>
      <c r="O333" t="str" cm="1">
        <f t="array" ref="O333">_xlfn.IFS(orders[[#This Row],[Customer Gender]] = "M", "Male",orders[[#This Row],[Customer Gender]] = "F", "Female",orders[[#This Row],[Customer Gender]] = "O", "Others",TRUE,"Unknown")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 - orders[[#This Row],[Order Date]]</f>
        <v>2</v>
      </c>
      <c r="N334">
        <f>WEEKNUM(orders[[#This Row],[Order Date]])</f>
        <v>3</v>
      </c>
      <c r="O334" t="str" cm="1">
        <f t="array" ref="O334">_xlfn.IFS(orders[[#This Row],[Customer Gender]] = "M", "Male",orders[[#This Row],[Customer Gender]] = "F", "Female",orders[[#This Row],[Customer Gender]] = "O", "Others",TRUE,"Unknown")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 - orders[[#This Row],[Order Date]]</f>
        <v>3</v>
      </c>
      <c r="N335">
        <f>WEEKNUM(orders[[#This Row],[Order Date]])</f>
        <v>3</v>
      </c>
      <c r="O335" t="str" cm="1">
        <f t="array" ref="O335">_xlfn.IFS(orders[[#This Row],[Customer Gender]] = "M", "Male",orders[[#This Row],[Customer Gender]] = "F", "Female",orders[[#This Row],[Customer Gender]] = "O", "Others",TRUE,"Unknown")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 - orders[[#This Row],[Order Date]]</f>
        <v>1</v>
      </c>
      <c r="N336">
        <f>WEEKNUM(orders[[#This Row],[Order Date]])</f>
        <v>3</v>
      </c>
      <c r="O336" t="str" cm="1">
        <f t="array" ref="O336">_xlfn.IFS(orders[[#This Row],[Customer Gender]] = "M", "Male",orders[[#This Row],[Customer Gender]] = "F", "Female",orders[[#This Row],[Customer Gender]] = "O", "Others",TRUE,"Unknown")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 - orders[[#This Row],[Order Date]]</f>
        <v>6</v>
      </c>
      <c r="N337">
        <f>WEEKNUM(orders[[#This Row],[Order Date]])</f>
        <v>3</v>
      </c>
      <c r="O337" t="str" cm="1">
        <f t="array" ref="O337">_xlfn.IFS(orders[[#This Row],[Customer Gender]] = "M", "Male",orders[[#This Row],[Customer Gender]] = "F", "Female",orders[[#This Row],[Customer Gender]] = "O", "Others",TRUE,"Unknown")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 - orders[[#This Row],[Order Date]]</f>
        <v>12</v>
      </c>
      <c r="N338">
        <f>WEEKNUM(orders[[#This Row],[Order Date]])</f>
        <v>3</v>
      </c>
      <c r="O338" t="str" cm="1">
        <f t="array" ref="O338">_xlfn.IFS(orders[[#This Row],[Customer Gender]] = "M", "Male",orders[[#This Row],[Customer Gender]] = "F", "Female",orders[[#This Row],[Customer Gender]] = "O", "Others",TRUE,"Unknown")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 - orders[[#This Row],[Order Date]]</f>
        <v>2</v>
      </c>
      <c r="N339">
        <f>WEEKNUM(orders[[#This Row],[Order Date]])</f>
        <v>3</v>
      </c>
      <c r="O339" t="str" cm="1">
        <f t="array" ref="O339">_xlfn.IFS(orders[[#This Row],[Customer Gender]] = "M", "Male",orders[[#This Row],[Customer Gender]] = "F", "Female",orders[[#This Row],[Customer Gender]] = "O", "Others",TRUE,"Unknown")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 - orders[[#This Row],[Order Date]]</f>
        <v>0</v>
      </c>
      <c r="N340">
        <f>WEEKNUM(orders[[#This Row],[Order Date]])</f>
        <v>3</v>
      </c>
      <c r="O340" t="str" cm="1">
        <f t="array" ref="O340">_xlfn.IFS(orders[[#This Row],[Customer Gender]] = "M", "Male",orders[[#This Row],[Customer Gender]] = "F", "Female",orders[[#This Row],[Customer Gender]] = "O", "Others",TRUE,"Unknown")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 - orders[[#This Row],[Order Date]]</f>
        <v>0</v>
      </c>
      <c r="N341">
        <f>WEEKNUM(orders[[#This Row],[Order Date]])</f>
        <v>3</v>
      </c>
      <c r="O341" t="str" cm="1">
        <f t="array" ref="O341">_xlfn.IFS(orders[[#This Row],[Customer Gender]] = "M", "Male",orders[[#This Row],[Customer Gender]] = "F", "Female",orders[[#This Row],[Customer Gender]] = "O", "Others",TRUE,"Unknown")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 - orders[[#This Row],[Order Date]]</f>
        <v>2</v>
      </c>
      <c r="N342">
        <f>WEEKNUM(orders[[#This Row],[Order Date]])</f>
        <v>3</v>
      </c>
      <c r="O342" t="str" cm="1">
        <f t="array" ref="O342">_xlfn.IFS(orders[[#This Row],[Customer Gender]] = "M", "Male",orders[[#This Row],[Customer Gender]] = "F", "Female",orders[[#This Row],[Customer Gender]] = "O", "Others",TRUE,"Unknown")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 - orders[[#This Row],[Order Date]]</f>
        <v>11</v>
      </c>
      <c r="N343">
        <f>WEEKNUM(orders[[#This Row],[Order Date]])</f>
        <v>3</v>
      </c>
      <c r="O343" t="str" cm="1">
        <f t="array" ref="O343">_xlfn.IFS(orders[[#This Row],[Customer Gender]] = "M", "Male",orders[[#This Row],[Customer Gender]] = "F", "Female",orders[[#This Row],[Customer Gender]] = "O", "Others",TRUE,"Unknown")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 - orders[[#This Row],[Order Date]]</f>
        <v>2</v>
      </c>
      <c r="N344">
        <f>WEEKNUM(orders[[#This Row],[Order Date]])</f>
        <v>3</v>
      </c>
      <c r="O344" t="str" cm="1">
        <f t="array" ref="O344">_xlfn.IFS(orders[[#This Row],[Customer Gender]] = "M", "Male",orders[[#This Row],[Customer Gender]] = "F", "Female",orders[[#This Row],[Customer Gender]] = "O", "Others",TRUE,"Unknown")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 - orders[[#This Row],[Order Date]]</f>
        <v>4</v>
      </c>
      <c r="N345">
        <f>WEEKNUM(orders[[#This Row],[Order Date]])</f>
        <v>3</v>
      </c>
      <c r="O345" t="str" cm="1">
        <f t="array" ref="O345">_xlfn.IFS(orders[[#This Row],[Customer Gender]] = "M", "Male",orders[[#This Row],[Customer Gender]] = "F", "Female",orders[[#This Row],[Customer Gender]] = "O", "Others",TRUE,"Unknown")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 - orders[[#This Row],[Order Date]]</f>
        <v>0</v>
      </c>
      <c r="N346">
        <f>WEEKNUM(orders[[#This Row],[Order Date]])</f>
        <v>3</v>
      </c>
      <c r="O346" t="str" cm="1">
        <f t="array" ref="O346">_xlfn.IFS(orders[[#This Row],[Customer Gender]] = "M", "Male",orders[[#This Row],[Customer Gender]] = "F", "Female",orders[[#This Row],[Customer Gender]] = "O", "Others",TRUE,"Unknown")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 - orders[[#This Row],[Order Date]]</f>
        <v>2</v>
      </c>
      <c r="N347">
        <f>WEEKNUM(orders[[#This Row],[Order Date]])</f>
        <v>3</v>
      </c>
      <c r="O347" t="str" cm="1">
        <f t="array" ref="O347">_xlfn.IFS(orders[[#This Row],[Customer Gender]] = "M", "Male",orders[[#This Row],[Customer Gender]] = "F", "Female",orders[[#This Row],[Customer Gender]] = "O", "Others",TRUE,"Unknown")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 - orders[[#This Row],[Order Date]]</f>
        <v>2</v>
      </c>
      <c r="N348">
        <f>WEEKNUM(orders[[#This Row],[Order Date]])</f>
        <v>3</v>
      </c>
      <c r="O348" t="str" cm="1">
        <f t="array" ref="O348">_xlfn.IFS(orders[[#This Row],[Customer Gender]] = "M", "Male",orders[[#This Row],[Customer Gender]] = "F", "Female",orders[[#This Row],[Customer Gender]] = "O", "Others",TRUE,"Unknown")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 - orders[[#This Row],[Order Date]]</f>
        <v>1</v>
      </c>
      <c r="N349">
        <f>WEEKNUM(orders[[#This Row],[Order Date]])</f>
        <v>3</v>
      </c>
      <c r="O349" t="str" cm="1">
        <f t="array" ref="O349">_xlfn.IFS(orders[[#This Row],[Customer Gender]] = "M", "Male",orders[[#This Row],[Customer Gender]] = "F", "Female",orders[[#This Row],[Customer Gender]] = "O", "Others",TRUE,"Unknown")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 - orders[[#This Row],[Order Date]]</f>
        <v>4</v>
      </c>
      <c r="N350">
        <f>WEEKNUM(orders[[#This Row],[Order Date]])</f>
        <v>3</v>
      </c>
      <c r="O350" t="str" cm="1">
        <f t="array" ref="O350">_xlfn.IFS(orders[[#This Row],[Customer Gender]] = "M", "Male",orders[[#This Row],[Customer Gender]] = "F", "Female",orders[[#This Row],[Customer Gender]] = "O", "Others",TRUE,"Unknown")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 - orders[[#This Row],[Order Date]]</f>
        <v>1</v>
      </c>
      <c r="N351">
        <f>WEEKNUM(orders[[#This Row],[Order Date]])</f>
        <v>3</v>
      </c>
      <c r="O351" t="str" cm="1">
        <f t="array" ref="O351">_xlfn.IFS(orders[[#This Row],[Customer Gender]] = "M", "Male",orders[[#This Row],[Customer Gender]] = "F", "Female",orders[[#This Row],[Customer Gender]] = "O", "Others",TRUE,"Unknown")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 - orders[[#This Row],[Order Date]]</f>
        <v>1</v>
      </c>
      <c r="N352">
        <f>WEEKNUM(orders[[#This Row],[Order Date]])</f>
        <v>3</v>
      </c>
      <c r="O352" t="str" cm="1">
        <f t="array" ref="O352">_xlfn.IFS(orders[[#This Row],[Customer Gender]] = "M", "Male",orders[[#This Row],[Customer Gender]] = "F", "Female",orders[[#This Row],[Customer Gender]] = "O", "Others",TRUE,"Unknown")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 - orders[[#This Row],[Order Date]]</f>
        <v>0</v>
      </c>
      <c r="N353">
        <f>WEEKNUM(orders[[#This Row],[Order Date]])</f>
        <v>3</v>
      </c>
      <c r="O353" t="str" cm="1">
        <f t="array" ref="O353">_xlfn.IFS(orders[[#This Row],[Customer Gender]] = "M", "Male",orders[[#This Row],[Customer Gender]] = "F", "Female",orders[[#This Row],[Customer Gender]] = "O", "Others",TRUE,"Unknown")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 - orders[[#This Row],[Order Date]]</f>
        <v>8</v>
      </c>
      <c r="N354">
        <f>WEEKNUM(orders[[#This Row],[Order Date]])</f>
        <v>3</v>
      </c>
      <c r="O354" t="str" cm="1">
        <f t="array" ref="O354">_xlfn.IFS(orders[[#This Row],[Customer Gender]] = "M", "Male",orders[[#This Row],[Customer Gender]] = "F", "Female",orders[[#This Row],[Customer Gender]] = "O", "Others",TRUE,"Unknown")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 - orders[[#This Row],[Order Date]]</f>
        <v>1</v>
      </c>
      <c r="N355">
        <f>WEEKNUM(orders[[#This Row],[Order Date]])</f>
        <v>3</v>
      </c>
      <c r="O355" t="str" cm="1">
        <f t="array" ref="O355">_xlfn.IFS(orders[[#This Row],[Customer Gender]] = "M", "Male",orders[[#This Row],[Customer Gender]] = "F", "Female",orders[[#This Row],[Customer Gender]] = "O", "Others",TRUE,"Unknown")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 - orders[[#This Row],[Order Date]]</f>
        <v>6</v>
      </c>
      <c r="N356">
        <f>WEEKNUM(orders[[#This Row],[Order Date]])</f>
        <v>3</v>
      </c>
      <c r="O356" t="str" cm="1">
        <f t="array" ref="O356">_xlfn.IFS(orders[[#This Row],[Customer Gender]] = "M", "Male",orders[[#This Row],[Customer Gender]] = "F", "Female",orders[[#This Row],[Customer Gender]] = "O", "Others",TRUE,"Unknown")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 - orders[[#This Row],[Order Date]]</f>
        <v>1</v>
      </c>
      <c r="N357">
        <f>WEEKNUM(orders[[#This Row],[Order Date]])</f>
        <v>3</v>
      </c>
      <c r="O357" t="str" cm="1">
        <f t="array" ref="O357">_xlfn.IFS(orders[[#This Row],[Customer Gender]] = "M", "Male",orders[[#This Row],[Customer Gender]] = "F", "Female",orders[[#This Row],[Customer Gender]] = "O", "Others",TRUE,"Unknown")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 - orders[[#This Row],[Order Date]]</f>
        <v>2</v>
      </c>
      <c r="N358">
        <f>WEEKNUM(orders[[#This Row],[Order Date]])</f>
        <v>3</v>
      </c>
      <c r="O358" t="str" cm="1">
        <f t="array" ref="O358">_xlfn.IFS(orders[[#This Row],[Customer Gender]] = "M", "Male",orders[[#This Row],[Customer Gender]] = "F", "Female",orders[[#This Row],[Customer Gender]] = "O", "Others",TRUE,"Unknown")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 - orders[[#This Row],[Order Date]]</f>
        <v>3</v>
      </c>
      <c r="N359">
        <f>WEEKNUM(orders[[#This Row],[Order Date]])</f>
        <v>3</v>
      </c>
      <c r="O359" t="str" cm="1">
        <f t="array" ref="O359">_xlfn.IFS(orders[[#This Row],[Customer Gender]] = "M", "Male",orders[[#This Row],[Customer Gender]] = "F", "Female",orders[[#This Row],[Customer Gender]] = "O", "Others",TRUE,"Unknown")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 - orders[[#This Row],[Order Date]]</f>
        <v>0</v>
      </c>
      <c r="N360">
        <f>WEEKNUM(orders[[#This Row],[Order Date]])</f>
        <v>3</v>
      </c>
      <c r="O360" t="str" cm="1">
        <f t="array" ref="O360">_xlfn.IFS(orders[[#This Row],[Customer Gender]] = "M", "Male",orders[[#This Row],[Customer Gender]] = "F", "Female",orders[[#This Row],[Customer Gender]] = "O", "Others",TRUE,"Unknown")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 - orders[[#This Row],[Order Date]]</f>
        <v>1</v>
      </c>
      <c r="N361">
        <f>WEEKNUM(orders[[#This Row],[Order Date]])</f>
        <v>3</v>
      </c>
      <c r="O361" t="str" cm="1">
        <f t="array" ref="O361">_xlfn.IFS(orders[[#This Row],[Customer Gender]] = "M", "Male",orders[[#This Row],[Customer Gender]] = "F", "Female",orders[[#This Row],[Customer Gender]] = "O", "Others",TRUE,"Unknown")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 - orders[[#This Row],[Order Date]]</f>
        <v>6</v>
      </c>
      <c r="N362">
        <f>WEEKNUM(orders[[#This Row],[Order Date]])</f>
        <v>3</v>
      </c>
      <c r="O362" t="str" cm="1">
        <f t="array" ref="O362">_xlfn.IFS(orders[[#This Row],[Customer Gender]] = "M", "Male",orders[[#This Row],[Customer Gender]] = "F", "Female",orders[[#This Row],[Customer Gender]] = "O", "Others",TRUE,"Unknown")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 - orders[[#This Row],[Order Date]]</f>
        <v>1</v>
      </c>
      <c r="N363">
        <f>WEEKNUM(orders[[#This Row],[Order Date]])</f>
        <v>3</v>
      </c>
      <c r="O363" t="str" cm="1">
        <f t="array" ref="O363">_xlfn.IFS(orders[[#This Row],[Customer Gender]] = "M", "Male",orders[[#This Row],[Customer Gender]] = "F", "Female",orders[[#This Row],[Customer Gender]] = "O", "Others",TRUE,"Unknown")</f>
        <v>Others</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 - orders[[#This Row],[Order Date]]</f>
        <v>4</v>
      </c>
      <c r="N364">
        <f>WEEKNUM(orders[[#This Row],[Order Date]])</f>
        <v>3</v>
      </c>
      <c r="O364" t="str" cm="1">
        <f t="array" ref="O364">_xlfn.IFS(orders[[#This Row],[Customer Gender]] = "M", "Male",orders[[#This Row],[Customer Gender]] = "F", "Female",orders[[#This Row],[Customer Gender]] = "O", "Others",TRUE,"Unknown")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 - orders[[#This Row],[Order Date]]</f>
        <v>2</v>
      </c>
      <c r="N365">
        <f>WEEKNUM(orders[[#This Row],[Order Date]])</f>
        <v>3</v>
      </c>
      <c r="O365" t="str" cm="1">
        <f t="array" ref="O365">_xlfn.IFS(orders[[#This Row],[Customer Gender]] = "M", "Male",orders[[#This Row],[Customer Gender]] = "F", "Female",orders[[#This Row],[Customer Gender]] = "O", "Others",TRUE,"Unknown")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 - orders[[#This Row],[Order Date]]</f>
        <v>3</v>
      </c>
      <c r="N366">
        <f>WEEKNUM(orders[[#This Row],[Order Date]])</f>
        <v>3</v>
      </c>
      <c r="O366" t="str" cm="1">
        <f t="array" ref="O366">_xlfn.IFS(orders[[#This Row],[Customer Gender]] = "M", "Male",orders[[#This Row],[Customer Gender]] = "F", "Female",orders[[#This Row],[Customer Gender]] = "O", "Others",TRUE,"Unknown")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 - orders[[#This Row],[Order Date]]</f>
        <v>2</v>
      </c>
      <c r="N367">
        <f>WEEKNUM(orders[[#This Row],[Order Date]])</f>
        <v>3</v>
      </c>
      <c r="O367" t="str" cm="1">
        <f t="array" ref="O367">_xlfn.IFS(orders[[#This Row],[Customer Gender]] = "M", "Male",orders[[#This Row],[Customer Gender]] = "F", "Female",orders[[#This Row],[Customer Gender]] = "O", "Others",TRUE,"Unknown")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 - orders[[#This Row],[Order Date]]</f>
        <v>1</v>
      </c>
      <c r="N368">
        <f>WEEKNUM(orders[[#This Row],[Order Date]])</f>
        <v>3</v>
      </c>
      <c r="O368" t="str" cm="1">
        <f t="array" ref="O368">_xlfn.IFS(orders[[#This Row],[Customer Gender]] = "M", "Male",orders[[#This Row],[Customer Gender]] = "F", "Female",orders[[#This Row],[Customer Gender]] = "O", "Others",TRUE,"Unknown")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 - orders[[#This Row],[Order Date]]</f>
        <v>1</v>
      </c>
      <c r="N369">
        <f>WEEKNUM(orders[[#This Row],[Order Date]])</f>
        <v>3</v>
      </c>
      <c r="O369" t="str" cm="1">
        <f t="array" ref="O369">_xlfn.IFS(orders[[#This Row],[Customer Gender]] = "M", "Male",orders[[#This Row],[Customer Gender]] = "F", "Female",orders[[#This Row],[Customer Gender]] = "O", "Others",TRUE,"Unknown")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 - orders[[#This Row],[Order Date]]</f>
        <v>5</v>
      </c>
      <c r="N370">
        <f>WEEKNUM(orders[[#This Row],[Order Date]])</f>
        <v>3</v>
      </c>
      <c r="O370" t="str" cm="1">
        <f t="array" ref="O370">_xlfn.IFS(orders[[#This Row],[Customer Gender]] = "M", "Male",orders[[#This Row],[Customer Gender]] = "F", "Female",orders[[#This Row],[Customer Gender]] = "O", "Others",TRUE,"Unknown")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 - orders[[#This Row],[Order Date]]</f>
        <v>1</v>
      </c>
      <c r="N371">
        <f>WEEKNUM(orders[[#This Row],[Order Date]])</f>
        <v>3</v>
      </c>
      <c r="O371" t="str" cm="1">
        <f t="array" ref="O371">_xlfn.IFS(orders[[#This Row],[Customer Gender]] = "M", "Male",orders[[#This Row],[Customer Gender]] = "F", "Female",orders[[#This Row],[Customer Gender]] = "O", "Others",TRUE,"Unknown")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 - orders[[#This Row],[Order Date]]</f>
        <v>2</v>
      </c>
      <c r="N372">
        <f>WEEKNUM(orders[[#This Row],[Order Date]])</f>
        <v>3</v>
      </c>
      <c r="O372" t="str" cm="1">
        <f t="array" ref="O372">_xlfn.IFS(orders[[#This Row],[Customer Gender]] = "M", "Male",orders[[#This Row],[Customer Gender]] = "F", "Female",orders[[#This Row],[Customer Gender]] = "O", "Others",TRUE,"Unknown")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 - orders[[#This Row],[Order Date]]</f>
        <v>1</v>
      </c>
      <c r="N373">
        <f>WEEKNUM(orders[[#This Row],[Order Date]])</f>
        <v>3</v>
      </c>
      <c r="O373" t="str" cm="1">
        <f t="array" ref="O373">_xlfn.IFS(orders[[#This Row],[Customer Gender]] = "M", "Male",orders[[#This Row],[Customer Gender]] = "F", "Female",orders[[#This Row],[Customer Gender]] = "O", "Others",TRUE,"Unknown")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 - orders[[#This Row],[Order Date]]</f>
        <v>10</v>
      </c>
      <c r="N374">
        <f>WEEKNUM(orders[[#This Row],[Order Date]])</f>
        <v>3</v>
      </c>
      <c r="O374" t="str" cm="1">
        <f t="array" ref="O374">_xlfn.IFS(orders[[#This Row],[Customer Gender]] = "M", "Male",orders[[#This Row],[Customer Gender]] = "F", "Female",orders[[#This Row],[Customer Gender]] = "O", "Others",TRUE,"Unknown")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 - orders[[#This Row],[Order Date]]</f>
        <v>1</v>
      </c>
      <c r="N375">
        <f>WEEKNUM(orders[[#This Row],[Order Date]])</f>
        <v>3</v>
      </c>
      <c r="O375" t="str" cm="1">
        <f t="array" ref="O375">_xlfn.IFS(orders[[#This Row],[Customer Gender]] = "M", "Male",orders[[#This Row],[Customer Gender]] = "F", "Female",orders[[#This Row],[Customer Gender]] = "O", "Others",TRUE,"Unknown")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 - orders[[#This Row],[Order Date]]</f>
        <v>0</v>
      </c>
      <c r="N376">
        <f>WEEKNUM(orders[[#This Row],[Order Date]])</f>
        <v>3</v>
      </c>
      <c r="O376" t="str" cm="1">
        <f t="array" ref="O376">_xlfn.IFS(orders[[#This Row],[Customer Gender]] = "M", "Male",orders[[#This Row],[Customer Gender]] = "F", "Female",orders[[#This Row],[Customer Gender]] = "O", "Others",TRUE,"Unknown")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 - orders[[#This Row],[Order Date]]</f>
        <v>2</v>
      </c>
      <c r="N377">
        <f>WEEKNUM(orders[[#This Row],[Order Date]])</f>
        <v>3</v>
      </c>
      <c r="O377" t="str" cm="1">
        <f t="array" ref="O377">_xlfn.IFS(orders[[#This Row],[Customer Gender]] = "M", "Male",orders[[#This Row],[Customer Gender]] = "F", "Female",orders[[#This Row],[Customer Gender]] = "O", "Others",TRUE,"Unknown")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 - orders[[#This Row],[Order Date]]</f>
        <v>3</v>
      </c>
      <c r="N378">
        <f>WEEKNUM(orders[[#This Row],[Order Date]])</f>
        <v>3</v>
      </c>
      <c r="O378" t="str" cm="1">
        <f t="array" ref="O378">_xlfn.IFS(orders[[#This Row],[Customer Gender]] = "M", "Male",orders[[#This Row],[Customer Gender]] = "F", "Female",orders[[#This Row],[Customer Gender]] = "O", "Others",TRUE,"Unknown")</f>
        <v>Others</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 - orders[[#This Row],[Order Date]]</f>
        <v>4</v>
      </c>
      <c r="N379">
        <f>WEEKNUM(orders[[#This Row],[Order Date]])</f>
        <v>3</v>
      </c>
      <c r="O379" t="str" cm="1">
        <f t="array" ref="O379">_xlfn.IFS(orders[[#This Row],[Customer Gender]] = "M", "Male",orders[[#This Row],[Customer Gender]] = "F", "Female",orders[[#This Row],[Customer Gender]] = "O", "Others",TRUE,"Unknown")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 - orders[[#This Row],[Order Date]]</f>
        <v>2</v>
      </c>
      <c r="N380">
        <f>WEEKNUM(orders[[#This Row],[Order Date]])</f>
        <v>3</v>
      </c>
      <c r="O380" t="str" cm="1">
        <f t="array" ref="O380">_xlfn.IFS(orders[[#This Row],[Customer Gender]] = "M", "Male",orders[[#This Row],[Customer Gender]] = "F", "Female",orders[[#This Row],[Customer Gender]] = "O", "Others",TRUE,"Unknown")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 - orders[[#This Row],[Order Date]]</f>
        <v>1</v>
      </c>
      <c r="N381">
        <f>WEEKNUM(orders[[#This Row],[Order Date]])</f>
        <v>3</v>
      </c>
      <c r="O381" t="str" cm="1">
        <f t="array" ref="O381">_xlfn.IFS(orders[[#This Row],[Customer Gender]] = "M", "Male",orders[[#This Row],[Customer Gender]] = "F", "Female",orders[[#This Row],[Customer Gender]] = "O", "Others",TRUE,"Unknown")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 - orders[[#This Row],[Order Date]]</f>
        <v>0</v>
      </c>
      <c r="N382">
        <f>WEEKNUM(orders[[#This Row],[Order Date]])</f>
        <v>3</v>
      </c>
      <c r="O382" t="str" cm="1">
        <f t="array" ref="O382">_xlfn.IFS(orders[[#This Row],[Customer Gender]] = "M", "Male",orders[[#This Row],[Customer Gender]] = "F", "Female",orders[[#This Row],[Customer Gender]] = "O", "Others",TRUE,"Unknown")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 - orders[[#This Row],[Order Date]]</f>
        <v>1</v>
      </c>
      <c r="N383">
        <f>WEEKNUM(orders[[#This Row],[Order Date]])</f>
        <v>3</v>
      </c>
      <c r="O383" t="str" cm="1">
        <f t="array" ref="O383">_xlfn.IFS(orders[[#This Row],[Customer Gender]] = "M", "Male",orders[[#This Row],[Customer Gender]] = "F", "Female",orders[[#This Row],[Customer Gender]] = "O", "Others",TRUE,"Unknown")</f>
        <v>Others</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 - orders[[#This Row],[Order Date]]</f>
        <v>1</v>
      </c>
      <c r="N384">
        <f>WEEKNUM(orders[[#This Row],[Order Date]])</f>
        <v>3</v>
      </c>
      <c r="O384" t="str" cm="1">
        <f t="array" ref="O384">_xlfn.IFS(orders[[#This Row],[Customer Gender]] = "M", "Male",orders[[#This Row],[Customer Gender]] = "F", "Female",orders[[#This Row],[Customer Gender]] = "O", "Others",TRUE,"Unknown")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 - orders[[#This Row],[Order Date]]</f>
        <v>1</v>
      </c>
      <c r="N385">
        <f>WEEKNUM(orders[[#This Row],[Order Date]])</f>
        <v>3</v>
      </c>
      <c r="O385" t="str" cm="1">
        <f t="array" ref="O385">_xlfn.IFS(orders[[#This Row],[Customer Gender]] = "M", "Male",orders[[#This Row],[Customer Gender]] = "F", "Female",orders[[#This Row],[Customer Gender]] = "O", "Others",TRUE,"Unknown")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 - orders[[#This Row],[Order Date]]</f>
        <v>2</v>
      </c>
      <c r="N386">
        <f>WEEKNUM(orders[[#This Row],[Order Date]])</f>
        <v>3</v>
      </c>
      <c r="O386" t="str" cm="1">
        <f t="array" ref="O386">_xlfn.IFS(orders[[#This Row],[Customer Gender]] = "M", "Male",orders[[#This Row],[Customer Gender]] = "F", "Female",orders[[#This Row],[Customer Gender]] = "O", "Others",TRUE,"Unknown")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 - orders[[#This Row],[Order Date]]</f>
        <v>3</v>
      </c>
      <c r="N387">
        <f>WEEKNUM(orders[[#This Row],[Order Date]])</f>
        <v>3</v>
      </c>
      <c r="O387" t="str" cm="1">
        <f t="array" ref="O387">_xlfn.IFS(orders[[#This Row],[Customer Gender]] = "M", "Male",orders[[#This Row],[Customer Gender]] = "F", "Female",orders[[#This Row],[Customer Gender]] = "O", "Others",TRUE,"Unknown")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 - orders[[#This Row],[Order Date]]</f>
        <v>1</v>
      </c>
      <c r="N388">
        <f>WEEKNUM(orders[[#This Row],[Order Date]])</f>
        <v>3</v>
      </c>
      <c r="O388" t="str" cm="1">
        <f t="array" ref="O388">_xlfn.IFS(orders[[#This Row],[Customer Gender]] = "M", "Male",orders[[#This Row],[Customer Gender]] = "F", "Female",orders[[#This Row],[Customer Gender]] = "O", "Others",TRUE,"Unknown")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 - orders[[#This Row],[Order Date]]</f>
        <v>1</v>
      </c>
      <c r="N389">
        <f>WEEKNUM(orders[[#This Row],[Order Date]])</f>
        <v>3</v>
      </c>
      <c r="O389" t="str" cm="1">
        <f t="array" ref="O389">_xlfn.IFS(orders[[#This Row],[Customer Gender]] = "M", "Male",orders[[#This Row],[Customer Gender]] = "F", "Female",orders[[#This Row],[Customer Gender]] = "O", "Others",TRUE,"Unknown")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 - orders[[#This Row],[Order Date]]</f>
        <v>4</v>
      </c>
      <c r="N390">
        <f>WEEKNUM(orders[[#This Row],[Order Date]])</f>
        <v>3</v>
      </c>
      <c r="O390" t="str" cm="1">
        <f t="array" ref="O390">_xlfn.IFS(orders[[#This Row],[Customer Gender]] = "M", "Male",orders[[#This Row],[Customer Gender]] = "F", "Female",orders[[#This Row],[Customer Gender]] = "O", "Others",TRUE,"Unknown")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 - orders[[#This Row],[Order Date]]</f>
        <v>3</v>
      </c>
      <c r="N391">
        <f>WEEKNUM(orders[[#This Row],[Order Date]])</f>
        <v>3</v>
      </c>
      <c r="O391" t="str" cm="1">
        <f t="array" ref="O391">_xlfn.IFS(orders[[#This Row],[Customer Gender]] = "M", "Male",orders[[#This Row],[Customer Gender]] = "F", "Female",orders[[#This Row],[Customer Gender]] = "O", "Others",TRUE,"Unknown")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 - orders[[#This Row],[Order Date]]</f>
        <v>0</v>
      </c>
      <c r="N392">
        <f>WEEKNUM(orders[[#This Row],[Order Date]])</f>
        <v>3</v>
      </c>
      <c r="O392" t="str" cm="1">
        <f t="array" ref="O392">_xlfn.IFS(orders[[#This Row],[Customer Gender]] = "M", "Male",orders[[#This Row],[Customer Gender]] = "F", "Female",orders[[#This Row],[Customer Gender]] = "O", "Others",TRUE,"Unknown")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 - orders[[#This Row],[Order Date]]</f>
        <v>1</v>
      </c>
      <c r="N393">
        <f>WEEKNUM(orders[[#This Row],[Order Date]])</f>
        <v>3</v>
      </c>
      <c r="O393" t="str" cm="1">
        <f t="array" ref="O393">_xlfn.IFS(orders[[#This Row],[Customer Gender]] = "M", "Male",orders[[#This Row],[Customer Gender]] = "F", "Female",orders[[#This Row],[Customer Gender]] = "O", "Others",TRUE,"Unknown")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 - orders[[#This Row],[Order Date]]</f>
        <v>3</v>
      </c>
      <c r="N394">
        <f>WEEKNUM(orders[[#This Row],[Order Date]])</f>
        <v>3</v>
      </c>
      <c r="O394" t="str" cm="1">
        <f t="array" ref="O394">_xlfn.IFS(orders[[#This Row],[Customer Gender]] = "M", "Male",orders[[#This Row],[Customer Gender]] = "F", "Female",orders[[#This Row],[Customer Gender]] = "O", "Others",TRUE,"Unknown")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 - orders[[#This Row],[Order Date]]</f>
        <v>3</v>
      </c>
      <c r="N395">
        <f>WEEKNUM(orders[[#This Row],[Order Date]])</f>
        <v>3</v>
      </c>
      <c r="O395" t="str" cm="1">
        <f t="array" ref="O395">_xlfn.IFS(orders[[#This Row],[Customer Gender]] = "M", "Male",orders[[#This Row],[Customer Gender]] = "F", "Female",orders[[#This Row],[Customer Gender]] = "O", "Others",TRUE,"Unknown")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 - orders[[#This Row],[Order Date]]</f>
        <v>6</v>
      </c>
      <c r="N396">
        <f>WEEKNUM(orders[[#This Row],[Order Date]])</f>
        <v>3</v>
      </c>
      <c r="O396" t="str" cm="1">
        <f t="array" ref="O396">_xlfn.IFS(orders[[#This Row],[Customer Gender]] = "M", "Male",orders[[#This Row],[Customer Gender]] = "F", "Female",orders[[#This Row],[Customer Gender]] = "O", "Others",TRUE,"Unknown")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 - orders[[#This Row],[Order Date]]</f>
        <v>2</v>
      </c>
      <c r="N397">
        <f>WEEKNUM(orders[[#This Row],[Order Date]])</f>
        <v>3</v>
      </c>
      <c r="O397" t="str" cm="1">
        <f t="array" ref="O397">_xlfn.IFS(orders[[#This Row],[Customer Gender]] = "M", "Male",orders[[#This Row],[Customer Gender]] = "F", "Female",orders[[#This Row],[Customer Gender]] = "O", "Others",TRUE,"Unknown")</f>
        <v>Others</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 - orders[[#This Row],[Order Date]]</f>
        <v>5</v>
      </c>
      <c r="N398">
        <f>WEEKNUM(orders[[#This Row],[Order Date]])</f>
        <v>3</v>
      </c>
      <c r="O398" t="str" cm="1">
        <f t="array" ref="O398">_xlfn.IFS(orders[[#This Row],[Customer Gender]] = "M", "Male",orders[[#This Row],[Customer Gender]] = "F", "Female",orders[[#This Row],[Customer Gender]] = "O", "Others",TRUE,"Unknown")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 - orders[[#This Row],[Order Date]]</f>
        <v>0</v>
      </c>
      <c r="N399">
        <f>WEEKNUM(orders[[#This Row],[Order Date]])</f>
        <v>3</v>
      </c>
      <c r="O399" t="str" cm="1">
        <f t="array" ref="O399">_xlfn.IFS(orders[[#This Row],[Customer Gender]] = "M", "Male",orders[[#This Row],[Customer Gender]] = "F", "Female",orders[[#This Row],[Customer Gender]] = "O", "Others",TRUE,"Unknown")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 - orders[[#This Row],[Order Date]]</f>
        <v>2</v>
      </c>
      <c r="N400">
        <f>WEEKNUM(orders[[#This Row],[Order Date]])</f>
        <v>3</v>
      </c>
      <c r="O400" t="str" cm="1">
        <f t="array" ref="O400">_xlfn.IFS(orders[[#This Row],[Customer Gender]] = "M", "Male",orders[[#This Row],[Customer Gender]] = "F", "Female",orders[[#This Row],[Customer Gender]] = "O", "Others",TRUE,"Unknown")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 - orders[[#This Row],[Order Date]]</f>
        <v>1</v>
      </c>
      <c r="N401">
        <f>WEEKNUM(orders[[#This Row],[Order Date]])</f>
        <v>3</v>
      </c>
      <c r="O401" t="str" cm="1">
        <f t="array" ref="O401">_xlfn.IFS(orders[[#This Row],[Customer Gender]] = "M", "Male",orders[[#This Row],[Customer Gender]] = "F", "Female",orders[[#This Row],[Customer Gender]] = "O", "Others",TRUE,"Unknown")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 - orders[[#This Row],[Order Date]]</f>
        <v>3</v>
      </c>
      <c r="N402">
        <f>WEEKNUM(orders[[#This Row],[Order Date]])</f>
        <v>3</v>
      </c>
      <c r="O402" t="str" cm="1">
        <f t="array" ref="O402">_xlfn.IFS(orders[[#This Row],[Customer Gender]] = "M", "Male",orders[[#This Row],[Customer Gender]] = "F", "Female",orders[[#This Row],[Customer Gender]] = "O", "Others",TRUE,"Unknown")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 - orders[[#This Row],[Order Date]]</f>
        <v>0</v>
      </c>
      <c r="N403">
        <f>WEEKNUM(orders[[#This Row],[Order Date]])</f>
        <v>3</v>
      </c>
      <c r="O403" t="str" cm="1">
        <f t="array" ref="O403">_xlfn.IFS(orders[[#This Row],[Customer Gender]] = "M", "Male",orders[[#This Row],[Customer Gender]] = "F", "Female",orders[[#This Row],[Customer Gender]] = "O", "Others",TRUE,"Unknown")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 - orders[[#This Row],[Order Date]]</f>
        <v>2</v>
      </c>
      <c r="N404">
        <f>WEEKNUM(orders[[#This Row],[Order Date]])</f>
        <v>3</v>
      </c>
      <c r="O404" t="str" cm="1">
        <f t="array" ref="O404">_xlfn.IFS(orders[[#This Row],[Customer Gender]] = "M", "Male",orders[[#This Row],[Customer Gender]] = "F", "Female",orders[[#This Row],[Customer Gender]] = "O", "Others",TRUE,"Unknown")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 - orders[[#This Row],[Order Date]]</f>
        <v>2</v>
      </c>
      <c r="N405">
        <f>WEEKNUM(orders[[#This Row],[Order Date]])</f>
        <v>3</v>
      </c>
      <c r="O405" t="str" cm="1">
        <f t="array" ref="O405">_xlfn.IFS(orders[[#This Row],[Customer Gender]] = "M", "Male",orders[[#This Row],[Customer Gender]] = "F", "Female",orders[[#This Row],[Customer Gender]] = "O", "Others",TRUE,"Unknown")</f>
        <v>Others</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 - orders[[#This Row],[Order Date]]</f>
        <v>1</v>
      </c>
      <c r="N406">
        <f>WEEKNUM(orders[[#This Row],[Order Date]])</f>
        <v>3</v>
      </c>
      <c r="O406" t="str" cm="1">
        <f t="array" ref="O406">_xlfn.IFS(orders[[#This Row],[Customer Gender]] = "M", "Male",orders[[#This Row],[Customer Gender]] = "F", "Female",orders[[#This Row],[Customer Gender]] = "O", "Others",TRUE,"Unknown")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 - orders[[#This Row],[Order Date]]</f>
        <v>2</v>
      </c>
      <c r="N407">
        <f>WEEKNUM(orders[[#This Row],[Order Date]])</f>
        <v>3</v>
      </c>
      <c r="O407" t="str" cm="1">
        <f t="array" ref="O407">_xlfn.IFS(orders[[#This Row],[Customer Gender]] = "M", "Male",orders[[#This Row],[Customer Gender]] = "F", "Female",orders[[#This Row],[Customer Gender]] = "O", "Others",TRUE,"Unknown")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 - orders[[#This Row],[Order Date]]</f>
        <v>2</v>
      </c>
      <c r="N408">
        <f>WEEKNUM(orders[[#This Row],[Order Date]])</f>
        <v>3</v>
      </c>
      <c r="O408" t="str" cm="1">
        <f t="array" ref="O408">_xlfn.IFS(orders[[#This Row],[Customer Gender]] = "M", "Male",orders[[#This Row],[Customer Gender]] = "F", "Female",orders[[#This Row],[Customer Gender]] = "O", "Others",TRUE,"Unknown")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 - orders[[#This Row],[Order Date]]</f>
        <v>1</v>
      </c>
      <c r="N409">
        <f>WEEKNUM(orders[[#This Row],[Order Date]])</f>
        <v>4</v>
      </c>
      <c r="O409" t="str" cm="1">
        <f t="array" ref="O409">_xlfn.IFS(orders[[#This Row],[Customer Gender]] = "M", "Male",orders[[#This Row],[Customer Gender]] = "F", "Female",orders[[#This Row],[Customer Gender]] = "O", "Others",TRUE,"Unknown")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 - orders[[#This Row],[Order Date]]</f>
        <v>1</v>
      </c>
      <c r="N410">
        <f>WEEKNUM(orders[[#This Row],[Order Date]])</f>
        <v>4</v>
      </c>
      <c r="O410" t="str" cm="1">
        <f t="array" ref="O410">_xlfn.IFS(orders[[#This Row],[Customer Gender]] = "M", "Male",orders[[#This Row],[Customer Gender]] = "F", "Female",orders[[#This Row],[Customer Gender]] = "O", "Others",TRUE,"Unknown")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 - orders[[#This Row],[Order Date]]</f>
        <v>1</v>
      </c>
      <c r="N411">
        <f>WEEKNUM(orders[[#This Row],[Order Date]])</f>
        <v>4</v>
      </c>
      <c r="O411" t="str" cm="1">
        <f t="array" ref="O411">_xlfn.IFS(orders[[#This Row],[Customer Gender]] = "M", "Male",orders[[#This Row],[Customer Gender]] = "F", "Female",orders[[#This Row],[Customer Gender]] = "O", "Others",TRUE,"Unknown")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 - orders[[#This Row],[Order Date]]</f>
        <v>3</v>
      </c>
      <c r="N412">
        <f>WEEKNUM(orders[[#This Row],[Order Date]])</f>
        <v>4</v>
      </c>
      <c r="O412" t="str" cm="1">
        <f t="array" ref="O412">_xlfn.IFS(orders[[#This Row],[Customer Gender]] = "M", "Male",orders[[#This Row],[Customer Gender]] = "F", "Female",orders[[#This Row],[Customer Gender]] = "O", "Others",TRUE,"Unknown")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 - orders[[#This Row],[Order Date]]</f>
        <v>2</v>
      </c>
      <c r="N413">
        <f>WEEKNUM(orders[[#This Row],[Order Date]])</f>
        <v>4</v>
      </c>
      <c r="O413" t="str" cm="1">
        <f t="array" ref="O413">_xlfn.IFS(orders[[#This Row],[Customer Gender]] = "M", "Male",orders[[#This Row],[Customer Gender]] = "F", "Female",orders[[#This Row],[Customer Gender]] = "O", "Others",TRUE,"Unknown")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 - orders[[#This Row],[Order Date]]</f>
        <v>3</v>
      </c>
      <c r="N414">
        <f>WEEKNUM(orders[[#This Row],[Order Date]])</f>
        <v>4</v>
      </c>
      <c r="O414" t="str" cm="1">
        <f t="array" ref="O414">_xlfn.IFS(orders[[#This Row],[Customer Gender]] = "M", "Male",orders[[#This Row],[Customer Gender]] = "F", "Female",orders[[#This Row],[Customer Gender]] = "O", "Others",TRUE,"Unknown")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 - orders[[#This Row],[Order Date]]</f>
        <v>8</v>
      </c>
      <c r="N415">
        <f>WEEKNUM(orders[[#This Row],[Order Date]])</f>
        <v>4</v>
      </c>
      <c r="O415" t="str" cm="1">
        <f t="array" ref="O415">_xlfn.IFS(orders[[#This Row],[Customer Gender]] = "M", "Male",orders[[#This Row],[Customer Gender]] = "F", "Female",orders[[#This Row],[Customer Gender]] = "O", "Others",TRUE,"Unknown")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 - orders[[#This Row],[Order Date]]</f>
        <v>3</v>
      </c>
      <c r="N416">
        <f>WEEKNUM(orders[[#This Row],[Order Date]])</f>
        <v>4</v>
      </c>
      <c r="O416" t="str" cm="1">
        <f t="array" ref="O416">_xlfn.IFS(orders[[#This Row],[Customer Gender]] = "M", "Male",orders[[#This Row],[Customer Gender]] = "F", "Female",orders[[#This Row],[Customer Gender]] = "O", "Others",TRUE,"Unknown")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 - orders[[#This Row],[Order Date]]</f>
        <v>2</v>
      </c>
      <c r="N417">
        <f>WEEKNUM(orders[[#This Row],[Order Date]])</f>
        <v>4</v>
      </c>
      <c r="O417" t="str" cm="1">
        <f t="array" ref="O417">_xlfn.IFS(orders[[#This Row],[Customer Gender]] = "M", "Male",orders[[#This Row],[Customer Gender]] = "F", "Female",orders[[#This Row],[Customer Gender]] = "O", "Others",TRUE,"Unknown")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 - orders[[#This Row],[Order Date]]</f>
        <v>1</v>
      </c>
      <c r="N418">
        <f>WEEKNUM(orders[[#This Row],[Order Date]])</f>
        <v>4</v>
      </c>
      <c r="O418" t="str" cm="1">
        <f t="array" ref="O418">_xlfn.IFS(orders[[#This Row],[Customer Gender]] = "M", "Male",orders[[#This Row],[Customer Gender]] = "F", "Female",orders[[#This Row],[Customer Gender]] = "O", "Others",TRUE,"Unknown")</f>
        <v>Others</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 - orders[[#This Row],[Order Date]]</f>
        <v>1</v>
      </c>
      <c r="N419">
        <f>WEEKNUM(orders[[#This Row],[Order Date]])</f>
        <v>4</v>
      </c>
      <c r="O419" t="str" cm="1">
        <f t="array" ref="O419">_xlfn.IFS(orders[[#This Row],[Customer Gender]] = "M", "Male",orders[[#This Row],[Customer Gender]] = "F", "Female",orders[[#This Row],[Customer Gender]] = "O", "Others",TRUE,"Unknown")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 - orders[[#This Row],[Order Date]]</f>
        <v>0</v>
      </c>
      <c r="N420">
        <f>WEEKNUM(orders[[#This Row],[Order Date]])</f>
        <v>4</v>
      </c>
      <c r="O420" t="str" cm="1">
        <f t="array" ref="O420">_xlfn.IFS(orders[[#This Row],[Customer Gender]] = "M", "Male",orders[[#This Row],[Customer Gender]] = "F", "Female",orders[[#This Row],[Customer Gender]] = "O", "Others",TRUE,"Unknown")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 - orders[[#This Row],[Order Date]]</f>
        <v>4</v>
      </c>
      <c r="N421">
        <f>WEEKNUM(orders[[#This Row],[Order Date]])</f>
        <v>4</v>
      </c>
      <c r="O421" t="str" cm="1">
        <f t="array" ref="O421">_xlfn.IFS(orders[[#This Row],[Customer Gender]] = "M", "Male",orders[[#This Row],[Customer Gender]] = "F", "Female",orders[[#This Row],[Customer Gender]] = "O", "Others",TRUE,"Unknown")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 - orders[[#This Row],[Order Date]]</f>
        <v>1</v>
      </c>
      <c r="N422">
        <f>WEEKNUM(orders[[#This Row],[Order Date]])</f>
        <v>4</v>
      </c>
      <c r="O422" t="str" cm="1">
        <f t="array" ref="O422">_xlfn.IFS(orders[[#This Row],[Customer Gender]] = "M", "Male",orders[[#This Row],[Customer Gender]] = "F", "Female",orders[[#This Row],[Customer Gender]] = "O", "Others",TRUE,"Unknown")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 - orders[[#This Row],[Order Date]]</f>
        <v>1</v>
      </c>
      <c r="N423">
        <f>WEEKNUM(orders[[#This Row],[Order Date]])</f>
        <v>4</v>
      </c>
      <c r="O423" t="str" cm="1">
        <f t="array" ref="O423">_xlfn.IFS(orders[[#This Row],[Customer Gender]] = "M", "Male",orders[[#This Row],[Customer Gender]] = "F", "Female",orders[[#This Row],[Customer Gender]] = "O", "Others",TRUE,"Unknown")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 - orders[[#This Row],[Order Date]]</f>
        <v>3</v>
      </c>
      <c r="N424">
        <f>WEEKNUM(orders[[#This Row],[Order Date]])</f>
        <v>4</v>
      </c>
      <c r="O424" t="str" cm="1">
        <f t="array" ref="O424">_xlfn.IFS(orders[[#This Row],[Customer Gender]] = "M", "Male",orders[[#This Row],[Customer Gender]] = "F", "Female",orders[[#This Row],[Customer Gender]] = "O", "Others",TRUE,"Unknown")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 - orders[[#This Row],[Order Date]]</f>
        <v>6</v>
      </c>
      <c r="N425">
        <f>WEEKNUM(orders[[#This Row],[Order Date]])</f>
        <v>4</v>
      </c>
      <c r="O425" t="str" cm="1">
        <f t="array" ref="O425">_xlfn.IFS(orders[[#This Row],[Customer Gender]] = "M", "Male",orders[[#This Row],[Customer Gender]] = "F", "Female",orders[[#This Row],[Customer Gender]] = "O", "Others",TRUE,"Unknown")</f>
        <v>Others</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 - orders[[#This Row],[Order Date]]</f>
        <v>3</v>
      </c>
      <c r="N426">
        <f>WEEKNUM(orders[[#This Row],[Order Date]])</f>
        <v>4</v>
      </c>
      <c r="O426" t="str" cm="1">
        <f t="array" ref="O426">_xlfn.IFS(orders[[#This Row],[Customer Gender]] = "M", "Male",orders[[#This Row],[Customer Gender]] = "F", "Female",orders[[#This Row],[Customer Gender]] = "O", "Others",TRUE,"Unknown")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 - orders[[#This Row],[Order Date]]</f>
        <v>2</v>
      </c>
      <c r="N427">
        <f>WEEKNUM(orders[[#This Row],[Order Date]])</f>
        <v>4</v>
      </c>
      <c r="O427" t="str" cm="1">
        <f t="array" ref="O427">_xlfn.IFS(orders[[#This Row],[Customer Gender]] = "M", "Male",orders[[#This Row],[Customer Gender]] = "F", "Female",orders[[#This Row],[Customer Gender]] = "O", "Others",TRUE,"Unknown")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 - orders[[#This Row],[Order Date]]</f>
        <v>3</v>
      </c>
      <c r="N428">
        <f>WEEKNUM(orders[[#This Row],[Order Date]])</f>
        <v>4</v>
      </c>
      <c r="O428" t="str" cm="1">
        <f t="array" ref="O428">_xlfn.IFS(orders[[#This Row],[Customer Gender]] = "M", "Male",orders[[#This Row],[Customer Gender]] = "F", "Female",orders[[#This Row],[Customer Gender]] = "O", "Others",TRUE,"Unknown")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 - orders[[#This Row],[Order Date]]</f>
        <v>2</v>
      </c>
      <c r="N429">
        <f>WEEKNUM(orders[[#This Row],[Order Date]])</f>
        <v>4</v>
      </c>
      <c r="O429" t="str" cm="1">
        <f t="array" ref="O429">_xlfn.IFS(orders[[#This Row],[Customer Gender]] = "M", "Male",orders[[#This Row],[Customer Gender]] = "F", "Female",orders[[#This Row],[Customer Gender]] = "O", "Others",TRUE,"Unknown")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 - orders[[#This Row],[Order Date]]</f>
        <v>1</v>
      </c>
      <c r="N430">
        <f>WEEKNUM(orders[[#This Row],[Order Date]])</f>
        <v>4</v>
      </c>
      <c r="O430" t="str" cm="1">
        <f t="array" ref="O430">_xlfn.IFS(orders[[#This Row],[Customer Gender]] = "M", "Male",orders[[#This Row],[Customer Gender]] = "F", "Female",orders[[#This Row],[Customer Gender]] = "O", "Others",TRUE,"Unknown")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 - orders[[#This Row],[Order Date]]</f>
        <v>1</v>
      </c>
      <c r="N431">
        <f>WEEKNUM(orders[[#This Row],[Order Date]])</f>
        <v>4</v>
      </c>
      <c r="O431" t="str" cm="1">
        <f t="array" ref="O431">_xlfn.IFS(orders[[#This Row],[Customer Gender]] = "M", "Male",orders[[#This Row],[Customer Gender]] = "F", "Female",orders[[#This Row],[Customer Gender]] = "O", "Others",TRUE,"Unknown")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 - orders[[#This Row],[Order Date]]</f>
        <v>4</v>
      </c>
      <c r="N432">
        <f>WEEKNUM(orders[[#This Row],[Order Date]])</f>
        <v>4</v>
      </c>
      <c r="O432" t="str" cm="1">
        <f t="array" ref="O432">_xlfn.IFS(orders[[#This Row],[Customer Gender]] = "M", "Male",orders[[#This Row],[Customer Gender]] = "F", "Female",orders[[#This Row],[Customer Gender]] = "O", "Others",TRUE,"Unknown")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 - orders[[#This Row],[Order Date]]</f>
        <v>5</v>
      </c>
      <c r="N433">
        <f>WEEKNUM(orders[[#This Row],[Order Date]])</f>
        <v>4</v>
      </c>
      <c r="O433" t="str" cm="1">
        <f t="array" ref="O433">_xlfn.IFS(orders[[#This Row],[Customer Gender]] = "M", "Male",orders[[#This Row],[Customer Gender]] = "F", "Female",orders[[#This Row],[Customer Gender]] = "O", "Others",TRUE,"Unknown")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 - orders[[#This Row],[Order Date]]</f>
        <v>7</v>
      </c>
      <c r="N434">
        <f>WEEKNUM(orders[[#This Row],[Order Date]])</f>
        <v>4</v>
      </c>
      <c r="O434" t="str" cm="1">
        <f t="array" ref="O434">_xlfn.IFS(orders[[#This Row],[Customer Gender]] = "M", "Male",orders[[#This Row],[Customer Gender]] = "F", "Female",orders[[#This Row],[Customer Gender]] = "O", "Others",TRUE,"Unknown")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 - orders[[#This Row],[Order Date]]</f>
        <v>3</v>
      </c>
      <c r="N435">
        <f>WEEKNUM(orders[[#This Row],[Order Date]])</f>
        <v>4</v>
      </c>
      <c r="O435" t="str" cm="1">
        <f t="array" ref="O435">_xlfn.IFS(orders[[#This Row],[Customer Gender]] = "M", "Male",orders[[#This Row],[Customer Gender]] = "F", "Female",orders[[#This Row],[Customer Gender]] = "O", "Others",TRUE,"Unknown")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 - orders[[#This Row],[Order Date]]</f>
        <v>1</v>
      </c>
      <c r="N436">
        <f>WEEKNUM(orders[[#This Row],[Order Date]])</f>
        <v>4</v>
      </c>
      <c r="O436" t="str" cm="1">
        <f t="array" ref="O436">_xlfn.IFS(orders[[#This Row],[Customer Gender]] = "M", "Male",orders[[#This Row],[Customer Gender]] = "F", "Female",orders[[#This Row],[Customer Gender]] = "O", "Others",TRUE,"Unknown")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 - orders[[#This Row],[Order Date]]</f>
        <v>1</v>
      </c>
      <c r="N437">
        <f>WEEKNUM(orders[[#This Row],[Order Date]])</f>
        <v>4</v>
      </c>
      <c r="O437" t="str" cm="1">
        <f t="array" ref="O437">_xlfn.IFS(orders[[#This Row],[Customer Gender]] = "M", "Male",orders[[#This Row],[Customer Gender]] = "F", "Female",orders[[#This Row],[Customer Gender]] = "O", "Others",TRUE,"Unknown")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 - orders[[#This Row],[Order Date]]</f>
        <v>1</v>
      </c>
      <c r="N438">
        <f>WEEKNUM(orders[[#This Row],[Order Date]])</f>
        <v>4</v>
      </c>
      <c r="O438" t="str" cm="1">
        <f t="array" ref="O438">_xlfn.IFS(orders[[#This Row],[Customer Gender]] = "M", "Male",orders[[#This Row],[Customer Gender]] = "F", "Female",orders[[#This Row],[Customer Gender]] = "O", "Others",TRUE,"Unknown")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 - orders[[#This Row],[Order Date]]</f>
        <v>11</v>
      </c>
      <c r="N439">
        <f>WEEKNUM(orders[[#This Row],[Order Date]])</f>
        <v>4</v>
      </c>
      <c r="O439" t="str" cm="1">
        <f t="array" ref="O439">_xlfn.IFS(orders[[#This Row],[Customer Gender]] = "M", "Male",orders[[#This Row],[Customer Gender]] = "F", "Female",orders[[#This Row],[Customer Gender]] = "O", "Others",TRUE,"Unknown")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 - orders[[#This Row],[Order Date]]</f>
        <v>2</v>
      </c>
      <c r="N440">
        <f>WEEKNUM(orders[[#This Row],[Order Date]])</f>
        <v>4</v>
      </c>
      <c r="O440" t="str" cm="1">
        <f t="array" ref="O440">_xlfn.IFS(orders[[#This Row],[Customer Gender]] = "M", "Male",orders[[#This Row],[Customer Gender]] = "F", "Female",orders[[#This Row],[Customer Gender]] = "O", "Others",TRUE,"Unknown")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 - orders[[#This Row],[Order Date]]</f>
        <v>2</v>
      </c>
      <c r="N441">
        <f>WEEKNUM(orders[[#This Row],[Order Date]])</f>
        <v>4</v>
      </c>
      <c r="O441" t="str" cm="1">
        <f t="array" ref="O441">_xlfn.IFS(orders[[#This Row],[Customer Gender]] = "M", "Male",orders[[#This Row],[Customer Gender]] = "F", "Female",orders[[#This Row],[Customer Gender]] = "O", "Others",TRUE,"Unknown")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 - orders[[#This Row],[Order Date]]</f>
        <v>2</v>
      </c>
      <c r="N442">
        <f>WEEKNUM(orders[[#This Row],[Order Date]])</f>
        <v>4</v>
      </c>
      <c r="O442" t="str" cm="1">
        <f t="array" ref="O442">_xlfn.IFS(orders[[#This Row],[Customer Gender]] = "M", "Male",orders[[#This Row],[Customer Gender]] = "F", "Female",orders[[#This Row],[Customer Gender]] = "O", "Others",TRUE,"Unknown")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 - orders[[#This Row],[Order Date]]</f>
        <v>3</v>
      </c>
      <c r="N443">
        <f>WEEKNUM(orders[[#This Row],[Order Date]])</f>
        <v>4</v>
      </c>
      <c r="O443" t="str" cm="1">
        <f t="array" ref="O443">_xlfn.IFS(orders[[#This Row],[Customer Gender]] = "M", "Male",orders[[#This Row],[Customer Gender]] = "F", "Female",orders[[#This Row],[Customer Gender]] = "O", "Others",TRUE,"Unknown")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 - orders[[#This Row],[Order Date]]</f>
        <v>2</v>
      </c>
      <c r="N444">
        <f>WEEKNUM(orders[[#This Row],[Order Date]])</f>
        <v>4</v>
      </c>
      <c r="O444" t="str" cm="1">
        <f t="array" ref="O444">_xlfn.IFS(orders[[#This Row],[Customer Gender]] = "M", "Male",orders[[#This Row],[Customer Gender]] = "F", "Female",orders[[#This Row],[Customer Gender]] = "O", "Others",TRUE,"Unknown")</f>
        <v>Others</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 - orders[[#This Row],[Order Date]]</f>
        <v>1</v>
      </c>
      <c r="N445">
        <f>WEEKNUM(orders[[#This Row],[Order Date]])</f>
        <v>4</v>
      </c>
      <c r="O445" t="str" cm="1">
        <f t="array" ref="O445">_xlfn.IFS(orders[[#This Row],[Customer Gender]] = "M", "Male",orders[[#This Row],[Customer Gender]] = "F", "Female",orders[[#This Row],[Customer Gender]] = "O", "Others",TRUE,"Unknown")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 - orders[[#This Row],[Order Date]]</f>
        <v>2</v>
      </c>
      <c r="N446">
        <f>WEEKNUM(orders[[#This Row],[Order Date]])</f>
        <v>4</v>
      </c>
      <c r="O446" t="str" cm="1">
        <f t="array" ref="O446">_xlfn.IFS(orders[[#This Row],[Customer Gender]] = "M", "Male",orders[[#This Row],[Customer Gender]] = "F", "Female",orders[[#This Row],[Customer Gender]] = "O", "Others",TRUE,"Unknown")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 - orders[[#This Row],[Order Date]]</f>
        <v>1</v>
      </c>
      <c r="N447">
        <f>WEEKNUM(orders[[#This Row],[Order Date]])</f>
        <v>4</v>
      </c>
      <c r="O447" t="str" cm="1">
        <f t="array" ref="O447">_xlfn.IFS(orders[[#This Row],[Customer Gender]] = "M", "Male",orders[[#This Row],[Customer Gender]] = "F", "Female",orders[[#This Row],[Customer Gender]] = "O", "Others",TRUE,"Unknown")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 - orders[[#This Row],[Order Date]]</f>
        <v>1</v>
      </c>
      <c r="N448">
        <f>WEEKNUM(orders[[#This Row],[Order Date]])</f>
        <v>4</v>
      </c>
      <c r="O448" t="str" cm="1">
        <f t="array" ref="O448">_xlfn.IFS(orders[[#This Row],[Customer Gender]] = "M", "Male",orders[[#This Row],[Customer Gender]] = "F", "Female",orders[[#This Row],[Customer Gender]] = "O", "Others",TRUE,"Unknown")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 - orders[[#This Row],[Order Date]]</f>
        <v>1</v>
      </c>
      <c r="N449">
        <f>WEEKNUM(orders[[#This Row],[Order Date]])</f>
        <v>4</v>
      </c>
      <c r="O449" t="str" cm="1">
        <f t="array" ref="O449">_xlfn.IFS(orders[[#This Row],[Customer Gender]] = "M", "Male",orders[[#This Row],[Customer Gender]] = "F", "Female",orders[[#This Row],[Customer Gender]] = "O", "Others",TRUE,"Unknown")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 - orders[[#This Row],[Order Date]]</f>
        <v>3</v>
      </c>
      <c r="N450">
        <f>WEEKNUM(orders[[#This Row],[Order Date]])</f>
        <v>4</v>
      </c>
      <c r="O450" t="str" cm="1">
        <f t="array" ref="O450">_xlfn.IFS(orders[[#This Row],[Customer Gender]] = "M", "Male",orders[[#This Row],[Customer Gender]] = "F", "Female",orders[[#This Row],[Customer Gender]] = "O", "Others",TRUE,"Unknown")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 - orders[[#This Row],[Order Date]]</f>
        <v>2</v>
      </c>
      <c r="N451">
        <f>WEEKNUM(orders[[#This Row],[Order Date]])</f>
        <v>4</v>
      </c>
      <c r="O451" t="str" cm="1">
        <f t="array" ref="O451">_xlfn.IFS(orders[[#This Row],[Customer Gender]] = "M", "Male",orders[[#This Row],[Customer Gender]] = "F", "Female",orders[[#This Row],[Customer Gender]] = "O", "Others",TRUE,"Unknown")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 - orders[[#This Row],[Order Date]]</f>
        <v>2</v>
      </c>
      <c r="N452">
        <f>WEEKNUM(orders[[#This Row],[Order Date]])</f>
        <v>4</v>
      </c>
      <c r="O452" t="str" cm="1">
        <f t="array" ref="O452">_xlfn.IFS(orders[[#This Row],[Customer Gender]] = "M", "Male",orders[[#This Row],[Customer Gender]] = "F", "Female",orders[[#This Row],[Customer Gender]] = "O", "Others",TRUE,"Unknown")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 - orders[[#This Row],[Order Date]]</f>
        <v>6</v>
      </c>
      <c r="N453">
        <f>WEEKNUM(orders[[#This Row],[Order Date]])</f>
        <v>4</v>
      </c>
      <c r="O453" t="str" cm="1">
        <f t="array" ref="O453">_xlfn.IFS(orders[[#This Row],[Customer Gender]] = "M", "Male",orders[[#This Row],[Customer Gender]] = "F", "Female",orders[[#This Row],[Customer Gender]] = "O", "Others",TRUE,"Unknown")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 - orders[[#This Row],[Order Date]]</f>
        <v>1</v>
      </c>
      <c r="N454">
        <f>WEEKNUM(orders[[#This Row],[Order Date]])</f>
        <v>4</v>
      </c>
      <c r="O454" t="str" cm="1">
        <f t="array" ref="O454">_xlfn.IFS(orders[[#This Row],[Customer Gender]] = "M", "Male",orders[[#This Row],[Customer Gender]] = "F", "Female",orders[[#This Row],[Customer Gender]] = "O", "Others",TRUE,"Unknown")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 - orders[[#This Row],[Order Date]]</f>
        <v>2</v>
      </c>
      <c r="N455">
        <f>WEEKNUM(orders[[#This Row],[Order Date]])</f>
        <v>4</v>
      </c>
      <c r="O455" t="str" cm="1">
        <f t="array" ref="O455">_xlfn.IFS(orders[[#This Row],[Customer Gender]] = "M", "Male",orders[[#This Row],[Customer Gender]] = "F", "Female",orders[[#This Row],[Customer Gender]] = "O", "Others",TRUE,"Unknown")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 - orders[[#This Row],[Order Date]]</f>
        <v>1</v>
      </c>
      <c r="N456">
        <f>WEEKNUM(orders[[#This Row],[Order Date]])</f>
        <v>4</v>
      </c>
      <c r="O456" t="str" cm="1">
        <f t="array" ref="O456">_xlfn.IFS(orders[[#This Row],[Customer Gender]] = "M", "Male",orders[[#This Row],[Customer Gender]] = "F", "Female",orders[[#This Row],[Customer Gender]] = "O", "Others",TRUE,"Unknown")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 - orders[[#This Row],[Order Date]]</f>
        <v>11</v>
      </c>
      <c r="N457">
        <f>WEEKNUM(orders[[#This Row],[Order Date]])</f>
        <v>4</v>
      </c>
      <c r="O457" t="str" cm="1">
        <f t="array" ref="O457">_xlfn.IFS(orders[[#This Row],[Customer Gender]] = "M", "Male",orders[[#This Row],[Customer Gender]] = "F", "Female",orders[[#This Row],[Customer Gender]] = "O", "Others",TRUE,"Unknown")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 - orders[[#This Row],[Order Date]]</f>
        <v>0</v>
      </c>
      <c r="N458">
        <f>WEEKNUM(orders[[#This Row],[Order Date]])</f>
        <v>4</v>
      </c>
      <c r="O458" t="str" cm="1">
        <f t="array" ref="O458">_xlfn.IFS(orders[[#This Row],[Customer Gender]] = "M", "Male",orders[[#This Row],[Customer Gender]] = "F", "Female",orders[[#This Row],[Customer Gender]] = "O", "Others",TRUE,"Unknown")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 - orders[[#This Row],[Order Date]]</f>
        <v>2</v>
      </c>
      <c r="N459">
        <f>WEEKNUM(orders[[#This Row],[Order Date]])</f>
        <v>4</v>
      </c>
      <c r="O459" t="str" cm="1">
        <f t="array" ref="O459">_xlfn.IFS(orders[[#This Row],[Customer Gender]] = "M", "Male",orders[[#This Row],[Customer Gender]] = "F", "Female",orders[[#This Row],[Customer Gender]] = "O", "Others",TRUE,"Unknown")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 - orders[[#This Row],[Order Date]]</f>
        <v>2</v>
      </c>
      <c r="N460">
        <f>WEEKNUM(orders[[#This Row],[Order Date]])</f>
        <v>4</v>
      </c>
      <c r="O460" t="str" cm="1">
        <f t="array" ref="O460">_xlfn.IFS(orders[[#This Row],[Customer Gender]] = "M", "Male",orders[[#This Row],[Customer Gender]] = "F", "Female",orders[[#This Row],[Customer Gender]] = "O", "Others",TRUE,"Unknown")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 - orders[[#This Row],[Order Date]]</f>
        <v>1</v>
      </c>
      <c r="N461">
        <f>WEEKNUM(orders[[#This Row],[Order Date]])</f>
        <v>4</v>
      </c>
      <c r="O461" t="str" cm="1">
        <f t="array" ref="O461">_xlfn.IFS(orders[[#This Row],[Customer Gender]] = "M", "Male",orders[[#This Row],[Customer Gender]] = "F", "Female",orders[[#This Row],[Customer Gender]] = "O", "Others",TRUE,"Unknown")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 - orders[[#This Row],[Order Date]]</f>
        <v>3</v>
      </c>
      <c r="N462">
        <f>WEEKNUM(orders[[#This Row],[Order Date]])</f>
        <v>4</v>
      </c>
      <c r="O462" t="str" cm="1">
        <f t="array" ref="O462">_xlfn.IFS(orders[[#This Row],[Customer Gender]] = "M", "Male",orders[[#This Row],[Customer Gender]] = "F", "Female",orders[[#This Row],[Customer Gender]] = "O", "Others",TRUE,"Unknown")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 - orders[[#This Row],[Order Date]]</f>
        <v>4</v>
      </c>
      <c r="N463">
        <f>WEEKNUM(orders[[#This Row],[Order Date]])</f>
        <v>4</v>
      </c>
      <c r="O463" t="str" cm="1">
        <f t="array" ref="O463">_xlfn.IFS(orders[[#This Row],[Customer Gender]] = "M", "Male",orders[[#This Row],[Customer Gender]] = "F", "Female",orders[[#This Row],[Customer Gender]] = "O", "Others",TRUE,"Unknown")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 - orders[[#This Row],[Order Date]]</f>
        <v>1</v>
      </c>
      <c r="N464">
        <f>WEEKNUM(orders[[#This Row],[Order Date]])</f>
        <v>4</v>
      </c>
      <c r="O464" t="str" cm="1">
        <f t="array" ref="O464">_xlfn.IFS(orders[[#This Row],[Customer Gender]] = "M", "Male",orders[[#This Row],[Customer Gender]] = "F", "Female",orders[[#This Row],[Customer Gender]] = "O", "Others",TRUE,"Unknown")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 - orders[[#This Row],[Order Date]]</f>
        <v>2</v>
      </c>
      <c r="N465">
        <f>WEEKNUM(orders[[#This Row],[Order Date]])</f>
        <v>4</v>
      </c>
      <c r="O465" t="str" cm="1">
        <f t="array" ref="O465">_xlfn.IFS(orders[[#This Row],[Customer Gender]] = "M", "Male",orders[[#This Row],[Customer Gender]] = "F", "Female",orders[[#This Row],[Customer Gender]] = "O", "Others",TRUE,"Unknown")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 - orders[[#This Row],[Order Date]]</f>
        <v>2</v>
      </c>
      <c r="N466">
        <f>WEEKNUM(orders[[#This Row],[Order Date]])</f>
        <v>4</v>
      </c>
      <c r="O466" t="str" cm="1">
        <f t="array" ref="O466">_xlfn.IFS(orders[[#This Row],[Customer Gender]] = "M", "Male",orders[[#This Row],[Customer Gender]] = "F", "Female",orders[[#This Row],[Customer Gender]] = "O", "Others",TRUE,"Unknown")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 - orders[[#This Row],[Order Date]]</f>
        <v>1</v>
      </c>
      <c r="N467">
        <f>WEEKNUM(orders[[#This Row],[Order Date]])</f>
        <v>4</v>
      </c>
      <c r="O467" t="str" cm="1">
        <f t="array" ref="O467">_xlfn.IFS(orders[[#This Row],[Customer Gender]] = "M", "Male",orders[[#This Row],[Customer Gender]] = "F", "Female",orders[[#This Row],[Customer Gender]] = "O", "Others",TRUE,"Unknown")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 - orders[[#This Row],[Order Date]]</f>
        <v>1</v>
      </c>
      <c r="N468">
        <f>WEEKNUM(orders[[#This Row],[Order Date]])</f>
        <v>4</v>
      </c>
      <c r="O468" t="str" cm="1">
        <f t="array" ref="O468">_xlfn.IFS(orders[[#This Row],[Customer Gender]] = "M", "Male",orders[[#This Row],[Customer Gender]] = "F", "Female",orders[[#This Row],[Customer Gender]] = "O", "Others",TRUE,"Unknown")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 - orders[[#This Row],[Order Date]]</f>
        <v>4</v>
      </c>
      <c r="N469">
        <f>WEEKNUM(orders[[#This Row],[Order Date]])</f>
        <v>4</v>
      </c>
      <c r="O469" t="str" cm="1">
        <f t="array" ref="O469">_xlfn.IFS(orders[[#This Row],[Customer Gender]] = "M", "Male",orders[[#This Row],[Customer Gender]] = "F", "Female",orders[[#This Row],[Customer Gender]] = "O", "Others",TRUE,"Unknown")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 - orders[[#This Row],[Order Date]]</f>
        <v>1</v>
      </c>
      <c r="N470">
        <f>WEEKNUM(orders[[#This Row],[Order Date]])</f>
        <v>4</v>
      </c>
      <c r="O470" t="str" cm="1">
        <f t="array" ref="O470">_xlfn.IFS(orders[[#This Row],[Customer Gender]] = "M", "Male",orders[[#This Row],[Customer Gender]] = "F", "Female",orders[[#This Row],[Customer Gender]] = "O", "Others",TRUE,"Unknown")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 - orders[[#This Row],[Order Date]]</f>
        <v>1</v>
      </c>
      <c r="N471">
        <f>WEEKNUM(orders[[#This Row],[Order Date]])</f>
        <v>4</v>
      </c>
      <c r="O471" t="str" cm="1">
        <f t="array" ref="O471">_xlfn.IFS(orders[[#This Row],[Customer Gender]] = "M", "Male",orders[[#This Row],[Customer Gender]] = "F", "Female",orders[[#This Row],[Customer Gender]] = "O", "Others",TRUE,"Unknown")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 - orders[[#This Row],[Order Date]]</f>
        <v>1</v>
      </c>
      <c r="N472">
        <f>WEEKNUM(orders[[#This Row],[Order Date]])</f>
        <v>4</v>
      </c>
      <c r="O472" t="str" cm="1">
        <f t="array" ref="O472">_xlfn.IFS(orders[[#This Row],[Customer Gender]] = "M", "Male",orders[[#This Row],[Customer Gender]] = "F", "Female",orders[[#This Row],[Customer Gender]] = "O", "Others",TRUE,"Unknown")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 - orders[[#This Row],[Order Date]]</f>
        <v>1</v>
      </c>
      <c r="N473">
        <f>WEEKNUM(orders[[#This Row],[Order Date]])</f>
        <v>4</v>
      </c>
      <c r="O473" t="str" cm="1">
        <f t="array" ref="O473">_xlfn.IFS(orders[[#This Row],[Customer Gender]] = "M", "Male",orders[[#This Row],[Customer Gender]] = "F", "Female",orders[[#This Row],[Customer Gender]] = "O", "Others",TRUE,"Unknown")</f>
        <v>Others</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 - orders[[#This Row],[Order Date]]</f>
        <v>3</v>
      </c>
      <c r="N474">
        <f>WEEKNUM(orders[[#This Row],[Order Date]])</f>
        <v>4</v>
      </c>
      <c r="O474" t="str" cm="1">
        <f t="array" ref="O474">_xlfn.IFS(orders[[#This Row],[Customer Gender]] = "M", "Male",orders[[#This Row],[Customer Gender]] = "F", "Female",orders[[#This Row],[Customer Gender]] = "O", "Others",TRUE,"Unknown")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 - orders[[#This Row],[Order Date]]</f>
        <v>1</v>
      </c>
      <c r="N475">
        <f>WEEKNUM(orders[[#This Row],[Order Date]])</f>
        <v>4</v>
      </c>
      <c r="O475" t="str" cm="1">
        <f t="array" ref="O475">_xlfn.IFS(orders[[#This Row],[Customer Gender]] = "M", "Male",orders[[#This Row],[Customer Gender]] = "F", "Female",orders[[#This Row],[Customer Gender]] = "O", "Others",TRUE,"Unknown")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 - orders[[#This Row],[Order Date]]</f>
        <v>1</v>
      </c>
      <c r="N476">
        <f>WEEKNUM(orders[[#This Row],[Order Date]])</f>
        <v>4</v>
      </c>
      <c r="O476" t="str" cm="1">
        <f t="array" ref="O476">_xlfn.IFS(orders[[#This Row],[Customer Gender]] = "M", "Male",orders[[#This Row],[Customer Gender]] = "F", "Female",orders[[#This Row],[Customer Gender]] = "O", "Others",TRUE,"Unknown")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 - orders[[#This Row],[Order Date]]</f>
        <v>3</v>
      </c>
      <c r="N477">
        <f>WEEKNUM(orders[[#This Row],[Order Date]])</f>
        <v>4</v>
      </c>
      <c r="O477" t="str" cm="1">
        <f t="array" ref="O477">_xlfn.IFS(orders[[#This Row],[Customer Gender]] = "M", "Male",orders[[#This Row],[Customer Gender]] = "F", "Female",orders[[#This Row],[Customer Gender]] = "O", "Others",TRUE,"Unknown")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 - orders[[#This Row],[Order Date]]</f>
        <v>3</v>
      </c>
      <c r="N478">
        <f>WEEKNUM(orders[[#This Row],[Order Date]])</f>
        <v>4</v>
      </c>
      <c r="O478" t="str" cm="1">
        <f t="array" ref="O478">_xlfn.IFS(orders[[#This Row],[Customer Gender]] = "M", "Male",orders[[#This Row],[Customer Gender]] = "F", "Female",orders[[#This Row],[Customer Gender]] = "O", "Others",TRUE,"Unknown")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 - orders[[#This Row],[Order Date]]</f>
        <v>1</v>
      </c>
      <c r="N479">
        <f>WEEKNUM(orders[[#This Row],[Order Date]])</f>
        <v>4</v>
      </c>
      <c r="O479" t="str" cm="1">
        <f t="array" ref="O479">_xlfn.IFS(orders[[#This Row],[Customer Gender]] = "M", "Male",orders[[#This Row],[Customer Gender]] = "F", "Female",orders[[#This Row],[Customer Gender]] = "O", "Others",TRUE,"Unknown")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 - orders[[#This Row],[Order Date]]</f>
        <v>4</v>
      </c>
      <c r="N480">
        <f>WEEKNUM(orders[[#This Row],[Order Date]])</f>
        <v>4</v>
      </c>
      <c r="O480" t="str" cm="1">
        <f t="array" ref="O480">_xlfn.IFS(orders[[#This Row],[Customer Gender]] = "M", "Male",orders[[#This Row],[Customer Gender]] = "F", "Female",orders[[#This Row],[Customer Gender]] = "O", "Others",TRUE,"Unknown")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 - orders[[#This Row],[Order Date]]</f>
        <v>1</v>
      </c>
      <c r="N481">
        <f>WEEKNUM(orders[[#This Row],[Order Date]])</f>
        <v>4</v>
      </c>
      <c r="O481" t="str" cm="1">
        <f t="array" ref="O481">_xlfn.IFS(orders[[#This Row],[Customer Gender]] = "M", "Male",orders[[#This Row],[Customer Gender]] = "F", "Female",orders[[#This Row],[Customer Gender]] = "O", "Others",TRUE,"Unknown")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 - orders[[#This Row],[Order Date]]</f>
        <v>3</v>
      </c>
      <c r="N482">
        <f>WEEKNUM(orders[[#This Row],[Order Date]])</f>
        <v>4</v>
      </c>
      <c r="O482" t="str" cm="1">
        <f t="array" ref="O482">_xlfn.IFS(orders[[#This Row],[Customer Gender]] = "M", "Male",orders[[#This Row],[Customer Gender]] = "F", "Female",orders[[#This Row],[Customer Gender]] = "O", "Others",TRUE,"Unknown")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 - orders[[#This Row],[Order Date]]</f>
        <v>1</v>
      </c>
      <c r="N483">
        <f>WEEKNUM(orders[[#This Row],[Order Date]])</f>
        <v>4</v>
      </c>
      <c r="O483" t="str" cm="1">
        <f t="array" ref="O483">_xlfn.IFS(orders[[#This Row],[Customer Gender]] = "M", "Male",orders[[#This Row],[Customer Gender]] = "F", "Female",orders[[#This Row],[Customer Gender]] = "O", "Others",TRUE,"Unknown")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 - orders[[#This Row],[Order Date]]</f>
        <v>3</v>
      </c>
      <c r="N484">
        <f>WEEKNUM(orders[[#This Row],[Order Date]])</f>
        <v>4</v>
      </c>
      <c r="O484" t="str" cm="1">
        <f t="array" ref="O484">_xlfn.IFS(orders[[#This Row],[Customer Gender]] = "M", "Male",orders[[#This Row],[Customer Gender]] = "F", "Female",orders[[#This Row],[Customer Gender]] = "O", "Others",TRUE,"Unknown")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 - orders[[#This Row],[Order Date]]</f>
        <v>3</v>
      </c>
      <c r="N485">
        <f>WEEKNUM(orders[[#This Row],[Order Date]])</f>
        <v>4</v>
      </c>
      <c r="O485" t="str" cm="1">
        <f t="array" ref="O485">_xlfn.IFS(orders[[#This Row],[Customer Gender]] = "M", "Male",orders[[#This Row],[Customer Gender]] = "F", "Female",orders[[#This Row],[Customer Gender]] = "O", "Others",TRUE,"Unknown")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 - orders[[#This Row],[Order Date]]</f>
        <v>7</v>
      </c>
      <c r="N486">
        <f>WEEKNUM(orders[[#This Row],[Order Date]])</f>
        <v>4</v>
      </c>
      <c r="O486" t="str" cm="1">
        <f t="array" ref="O486">_xlfn.IFS(orders[[#This Row],[Customer Gender]] = "M", "Male",orders[[#This Row],[Customer Gender]] = "F", "Female",orders[[#This Row],[Customer Gender]] = "O", "Others",TRUE,"Unknown")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 - orders[[#This Row],[Order Date]]</f>
        <v>5</v>
      </c>
      <c r="N487">
        <f>WEEKNUM(orders[[#This Row],[Order Date]])</f>
        <v>4</v>
      </c>
      <c r="O487" t="str" cm="1">
        <f t="array" ref="O487">_xlfn.IFS(orders[[#This Row],[Customer Gender]] = "M", "Male",orders[[#This Row],[Customer Gender]] = "F", "Female",orders[[#This Row],[Customer Gender]] = "O", "Others",TRUE,"Unknown")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 - orders[[#This Row],[Order Date]]</f>
        <v>1</v>
      </c>
      <c r="N488">
        <f>WEEKNUM(orders[[#This Row],[Order Date]])</f>
        <v>4</v>
      </c>
      <c r="O488" t="str" cm="1">
        <f t="array" ref="O488">_xlfn.IFS(orders[[#This Row],[Customer Gender]] = "M", "Male",orders[[#This Row],[Customer Gender]] = "F", "Female",orders[[#This Row],[Customer Gender]] = "O", "Others",TRUE,"Unknown")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 - orders[[#This Row],[Order Date]]</f>
        <v>1</v>
      </c>
      <c r="N489">
        <f>WEEKNUM(orders[[#This Row],[Order Date]])</f>
        <v>4</v>
      </c>
      <c r="O489" t="str" cm="1">
        <f t="array" ref="O489">_xlfn.IFS(orders[[#This Row],[Customer Gender]] = "M", "Male",orders[[#This Row],[Customer Gender]] = "F", "Female",orders[[#This Row],[Customer Gender]] = "O", "Others",TRUE,"Unknown")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 - orders[[#This Row],[Order Date]]</f>
        <v>2</v>
      </c>
      <c r="N490">
        <f>WEEKNUM(orders[[#This Row],[Order Date]])</f>
        <v>4</v>
      </c>
      <c r="O490" t="str" cm="1">
        <f t="array" ref="O490">_xlfn.IFS(orders[[#This Row],[Customer Gender]] = "M", "Male",orders[[#This Row],[Customer Gender]] = "F", "Female",orders[[#This Row],[Customer Gender]] = "O", "Others",TRUE,"Unknown")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 - orders[[#This Row],[Order Date]]</f>
        <v>2</v>
      </c>
      <c r="N491">
        <f>WEEKNUM(orders[[#This Row],[Order Date]])</f>
        <v>4</v>
      </c>
      <c r="O491" t="str" cm="1">
        <f t="array" ref="O491">_xlfn.IFS(orders[[#This Row],[Customer Gender]] = "M", "Male",orders[[#This Row],[Customer Gender]] = "F", "Female",orders[[#This Row],[Customer Gender]] = "O", "Others",TRUE,"Unknown")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 - orders[[#This Row],[Order Date]]</f>
        <v>1</v>
      </c>
      <c r="N492">
        <f>WEEKNUM(orders[[#This Row],[Order Date]])</f>
        <v>4</v>
      </c>
      <c r="O492" t="str" cm="1">
        <f t="array" ref="O492">_xlfn.IFS(orders[[#This Row],[Customer Gender]] = "M", "Male",orders[[#This Row],[Customer Gender]] = "F", "Female",orders[[#This Row],[Customer Gender]] = "O", "Others",TRUE,"Unknown")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 - orders[[#This Row],[Order Date]]</f>
        <v>2</v>
      </c>
      <c r="N493">
        <f>WEEKNUM(orders[[#This Row],[Order Date]])</f>
        <v>4</v>
      </c>
      <c r="O493" t="str" cm="1">
        <f t="array" ref="O493">_xlfn.IFS(orders[[#This Row],[Customer Gender]] = "M", "Male",orders[[#This Row],[Customer Gender]] = "F", "Female",orders[[#This Row],[Customer Gender]] = "O", "Others",TRUE,"Unknown")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 - orders[[#This Row],[Order Date]]</f>
        <v>2</v>
      </c>
      <c r="N494">
        <f>WEEKNUM(orders[[#This Row],[Order Date]])</f>
        <v>4</v>
      </c>
      <c r="O494" t="str" cm="1">
        <f t="array" ref="O494">_xlfn.IFS(orders[[#This Row],[Customer Gender]] = "M", "Male",orders[[#This Row],[Customer Gender]] = "F", "Female",orders[[#This Row],[Customer Gender]] = "O", "Others",TRUE,"Unknown")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 - orders[[#This Row],[Order Date]]</f>
        <v>2</v>
      </c>
      <c r="N495">
        <f>WEEKNUM(orders[[#This Row],[Order Date]])</f>
        <v>4</v>
      </c>
      <c r="O495" t="str" cm="1">
        <f t="array" ref="O495">_xlfn.IFS(orders[[#This Row],[Customer Gender]] = "M", "Male",orders[[#This Row],[Customer Gender]] = "F", "Female",orders[[#This Row],[Customer Gender]] = "O", "Others",TRUE,"Unknown")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 - orders[[#This Row],[Order Date]]</f>
        <v>1</v>
      </c>
      <c r="N496">
        <f>WEEKNUM(orders[[#This Row],[Order Date]])</f>
        <v>4</v>
      </c>
      <c r="O496" t="str" cm="1">
        <f t="array" ref="O496">_xlfn.IFS(orders[[#This Row],[Customer Gender]] = "M", "Male",orders[[#This Row],[Customer Gender]] = "F", "Female",orders[[#This Row],[Customer Gender]] = "O", "Others",TRUE,"Unknown")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 - orders[[#This Row],[Order Date]]</f>
        <v>1</v>
      </c>
      <c r="N497">
        <f>WEEKNUM(orders[[#This Row],[Order Date]])</f>
        <v>4</v>
      </c>
      <c r="O497" t="str" cm="1">
        <f t="array" ref="O497">_xlfn.IFS(orders[[#This Row],[Customer Gender]] = "M", "Male",orders[[#This Row],[Customer Gender]] = "F", "Female",orders[[#This Row],[Customer Gender]] = "O", "Others",TRUE,"Unknown")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 - orders[[#This Row],[Order Date]]</f>
        <v>1</v>
      </c>
      <c r="N498">
        <f>WEEKNUM(orders[[#This Row],[Order Date]])</f>
        <v>4</v>
      </c>
      <c r="O498" t="str" cm="1">
        <f t="array" ref="O498">_xlfn.IFS(orders[[#This Row],[Customer Gender]] = "M", "Male",orders[[#This Row],[Customer Gender]] = "F", "Female",orders[[#This Row],[Customer Gender]] = "O", "Others",TRUE,"Unknown")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 - orders[[#This Row],[Order Date]]</f>
        <v>4</v>
      </c>
      <c r="N499">
        <f>WEEKNUM(orders[[#This Row],[Order Date]])</f>
        <v>4</v>
      </c>
      <c r="O499" t="str" cm="1">
        <f t="array" ref="O499">_xlfn.IFS(orders[[#This Row],[Customer Gender]] = "M", "Male",orders[[#This Row],[Customer Gender]] = "F", "Female",orders[[#This Row],[Customer Gender]] = "O", "Others",TRUE,"Unknown")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 - orders[[#This Row],[Order Date]]</f>
        <v>1</v>
      </c>
      <c r="N500">
        <f>WEEKNUM(orders[[#This Row],[Order Date]])</f>
        <v>4</v>
      </c>
      <c r="O500" t="str" cm="1">
        <f t="array" ref="O500">_xlfn.IFS(orders[[#This Row],[Customer Gender]] = "M", "Male",orders[[#This Row],[Customer Gender]] = "F", "Female",orders[[#This Row],[Customer Gender]] = "O", "Others",TRUE,"Unknown")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 - orders[[#This Row],[Order Date]]</f>
        <v>1</v>
      </c>
      <c r="N501">
        <f>WEEKNUM(orders[[#This Row],[Order Date]])</f>
        <v>4</v>
      </c>
      <c r="O501" t="str" cm="1">
        <f t="array" ref="O501">_xlfn.IFS(orders[[#This Row],[Customer Gender]] = "M", "Male",orders[[#This Row],[Customer Gender]] = "F", "Female",orders[[#This Row],[Customer Gender]] = "O", "Others",TRUE,"Unknown")</f>
        <v>Others</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 - orders[[#This Row],[Order Date]]</f>
        <v>0</v>
      </c>
      <c r="N502">
        <f>WEEKNUM(orders[[#This Row],[Order Date]])</f>
        <v>4</v>
      </c>
      <c r="O502" t="str" cm="1">
        <f t="array" ref="O502">_xlfn.IFS(orders[[#This Row],[Customer Gender]] = "M", "Male",orders[[#This Row],[Customer Gender]] = "F", "Female",orders[[#This Row],[Customer Gender]] = "O", "Others",TRUE,"Unknown")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 - orders[[#This Row],[Order Date]]</f>
        <v>1</v>
      </c>
      <c r="N503">
        <f>WEEKNUM(orders[[#This Row],[Order Date]])</f>
        <v>4</v>
      </c>
      <c r="O503" t="str" cm="1">
        <f t="array" ref="O503">_xlfn.IFS(orders[[#This Row],[Customer Gender]] = "M", "Male",orders[[#This Row],[Customer Gender]] = "F", "Female",orders[[#This Row],[Customer Gender]] = "O", "Others",TRUE,"Unknown")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 - orders[[#This Row],[Order Date]]</f>
        <v>4</v>
      </c>
      <c r="N504">
        <f>WEEKNUM(orders[[#This Row],[Order Date]])</f>
        <v>4</v>
      </c>
      <c r="O504" t="str" cm="1">
        <f t="array" ref="O504">_xlfn.IFS(orders[[#This Row],[Customer Gender]] = "M", "Male",orders[[#This Row],[Customer Gender]] = "F", "Female",orders[[#This Row],[Customer Gender]] = "O", "Others",TRUE,"Unknown")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 - orders[[#This Row],[Order Date]]</f>
        <v>3</v>
      </c>
      <c r="N505">
        <f>WEEKNUM(orders[[#This Row],[Order Date]])</f>
        <v>4</v>
      </c>
      <c r="O505" t="str" cm="1">
        <f t="array" ref="O505">_xlfn.IFS(orders[[#This Row],[Customer Gender]] = "M", "Male",orders[[#This Row],[Customer Gender]] = "F", "Female",orders[[#This Row],[Customer Gender]] = "O", "Others",TRUE,"Unknown")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 - orders[[#This Row],[Order Date]]</f>
        <v>3</v>
      </c>
      <c r="N506">
        <f>WEEKNUM(orders[[#This Row],[Order Date]])</f>
        <v>4</v>
      </c>
      <c r="O506" t="str" cm="1">
        <f t="array" ref="O506">_xlfn.IFS(orders[[#This Row],[Customer Gender]] = "M", "Male",orders[[#This Row],[Customer Gender]] = "F", "Female",orders[[#This Row],[Customer Gender]] = "O", "Others",TRUE,"Unknown")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 - orders[[#This Row],[Order Date]]</f>
        <v>4</v>
      </c>
      <c r="N507">
        <f>WEEKNUM(orders[[#This Row],[Order Date]])</f>
        <v>4</v>
      </c>
      <c r="O507" t="str" cm="1">
        <f t="array" ref="O507">_xlfn.IFS(orders[[#This Row],[Customer Gender]] = "M", "Male",orders[[#This Row],[Customer Gender]] = "F", "Female",orders[[#This Row],[Customer Gender]] = "O", "Others",TRUE,"Unknown")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 - orders[[#This Row],[Order Date]]</f>
        <v>3</v>
      </c>
      <c r="N508">
        <f>WEEKNUM(orders[[#This Row],[Order Date]])</f>
        <v>4</v>
      </c>
      <c r="O508" t="str" cm="1">
        <f t="array" ref="O508">_xlfn.IFS(orders[[#This Row],[Customer Gender]] = "M", "Male",orders[[#This Row],[Customer Gender]] = "F", "Female",orders[[#This Row],[Customer Gender]] = "O", "Others",TRUE,"Unknown")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 - orders[[#This Row],[Order Date]]</f>
        <v>2</v>
      </c>
      <c r="N509">
        <f>WEEKNUM(orders[[#This Row],[Order Date]])</f>
        <v>4</v>
      </c>
      <c r="O509" t="str" cm="1">
        <f t="array" ref="O509">_xlfn.IFS(orders[[#This Row],[Customer Gender]] = "M", "Male",orders[[#This Row],[Customer Gender]] = "F", "Female",orders[[#This Row],[Customer Gender]] = "O", "Others",TRUE,"Unknown")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 - orders[[#This Row],[Order Date]]</f>
        <v>1</v>
      </c>
      <c r="N510">
        <f>WEEKNUM(orders[[#This Row],[Order Date]])</f>
        <v>4</v>
      </c>
      <c r="O510" t="str" cm="1">
        <f t="array" ref="O510">_xlfn.IFS(orders[[#This Row],[Customer Gender]] = "M", "Male",orders[[#This Row],[Customer Gender]] = "F", "Female",orders[[#This Row],[Customer Gender]] = "O", "Others",TRUE,"Unknown")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 - orders[[#This Row],[Order Date]]</f>
        <v>2</v>
      </c>
      <c r="N511">
        <f>WEEKNUM(orders[[#This Row],[Order Date]])</f>
        <v>4</v>
      </c>
      <c r="O511" t="str" cm="1">
        <f t="array" ref="O511">_xlfn.IFS(orders[[#This Row],[Customer Gender]] = "M", "Male",orders[[#This Row],[Customer Gender]] = "F", "Female",orders[[#This Row],[Customer Gender]] = "O", "Others",TRUE,"Unknown")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 - orders[[#This Row],[Order Date]]</f>
        <v>2</v>
      </c>
      <c r="N512">
        <f>WEEKNUM(orders[[#This Row],[Order Date]])</f>
        <v>4</v>
      </c>
      <c r="O512" t="str" cm="1">
        <f t="array" ref="O512">_xlfn.IFS(orders[[#This Row],[Customer Gender]] = "M", "Male",orders[[#This Row],[Customer Gender]] = "F", "Female",orders[[#This Row],[Customer Gender]] = "O", "Others",TRUE,"Unknown")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 - orders[[#This Row],[Order Date]]</f>
        <v>0</v>
      </c>
      <c r="N513">
        <f>WEEKNUM(orders[[#This Row],[Order Date]])</f>
        <v>4</v>
      </c>
      <c r="O513" t="str" cm="1">
        <f t="array" ref="O513">_xlfn.IFS(orders[[#This Row],[Customer Gender]] = "M", "Male",orders[[#This Row],[Customer Gender]] = "F", "Female",orders[[#This Row],[Customer Gender]] = "O", "Others",TRUE,"Unknown")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 - orders[[#This Row],[Order Date]]</f>
        <v>1</v>
      </c>
      <c r="N514">
        <f>WEEKNUM(orders[[#This Row],[Order Date]])</f>
        <v>4</v>
      </c>
      <c r="O514" t="str" cm="1">
        <f t="array" ref="O514">_xlfn.IFS(orders[[#This Row],[Customer Gender]] = "M", "Male",orders[[#This Row],[Customer Gender]] = "F", "Female",orders[[#This Row],[Customer Gender]] = "O", "Others",TRUE,"Unknown")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 - orders[[#This Row],[Order Date]]</f>
        <v>2</v>
      </c>
      <c r="N515">
        <f>WEEKNUM(orders[[#This Row],[Order Date]])</f>
        <v>4</v>
      </c>
      <c r="O515" t="str" cm="1">
        <f t="array" ref="O515">_xlfn.IFS(orders[[#This Row],[Customer Gender]] = "M", "Male",orders[[#This Row],[Customer Gender]] = "F", "Female",orders[[#This Row],[Customer Gender]] = "O", "Others",TRUE,"Unknown")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 - orders[[#This Row],[Order Date]]</f>
        <v>2</v>
      </c>
      <c r="N516">
        <f>WEEKNUM(orders[[#This Row],[Order Date]])</f>
        <v>4</v>
      </c>
      <c r="O516" t="str" cm="1">
        <f t="array" ref="O516">_xlfn.IFS(orders[[#This Row],[Customer Gender]] = "M", "Male",orders[[#This Row],[Customer Gender]] = "F", "Female",orders[[#This Row],[Customer Gender]] = "O", "Others",TRUE,"Unknown")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 - orders[[#This Row],[Order Date]]</f>
        <v>1</v>
      </c>
      <c r="N517">
        <f>WEEKNUM(orders[[#This Row],[Order Date]])</f>
        <v>4</v>
      </c>
      <c r="O517" t="str" cm="1">
        <f t="array" ref="O517">_xlfn.IFS(orders[[#This Row],[Customer Gender]] = "M", "Male",orders[[#This Row],[Customer Gender]] = "F", "Female",orders[[#This Row],[Customer Gender]] = "O", "Others",TRUE,"Unknown")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 - orders[[#This Row],[Order Date]]</f>
        <v>2</v>
      </c>
      <c r="N518">
        <f>WEEKNUM(orders[[#This Row],[Order Date]])</f>
        <v>4</v>
      </c>
      <c r="O518" t="str" cm="1">
        <f t="array" ref="O518">_xlfn.IFS(orders[[#This Row],[Customer Gender]] = "M", "Male",orders[[#This Row],[Customer Gender]] = "F", "Female",orders[[#This Row],[Customer Gender]] = "O", "Others",TRUE,"Unknown")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 - orders[[#This Row],[Order Date]]</f>
        <v>3</v>
      </c>
      <c r="N519">
        <f>WEEKNUM(orders[[#This Row],[Order Date]])</f>
        <v>4</v>
      </c>
      <c r="O519" t="str" cm="1">
        <f t="array" ref="O519">_xlfn.IFS(orders[[#This Row],[Customer Gender]] = "M", "Male",orders[[#This Row],[Customer Gender]] = "F", "Female",orders[[#This Row],[Customer Gender]] = "O", "Others",TRUE,"Unknown")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 - orders[[#This Row],[Order Date]]</f>
        <v>4</v>
      </c>
      <c r="N520">
        <f>WEEKNUM(orders[[#This Row],[Order Date]])</f>
        <v>4</v>
      </c>
      <c r="O520" t="str" cm="1">
        <f t="array" ref="O520">_xlfn.IFS(orders[[#This Row],[Customer Gender]] = "M", "Male",orders[[#This Row],[Customer Gender]] = "F", "Female",orders[[#This Row],[Customer Gender]] = "O", "Others",TRUE,"Unknown")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 - orders[[#This Row],[Order Date]]</f>
        <v>3</v>
      </c>
      <c r="N521">
        <f>WEEKNUM(orders[[#This Row],[Order Date]])</f>
        <v>4</v>
      </c>
      <c r="O521" t="str" cm="1">
        <f t="array" ref="O521">_xlfn.IFS(orders[[#This Row],[Customer Gender]] = "M", "Male",orders[[#This Row],[Customer Gender]] = "F", "Female",orders[[#This Row],[Customer Gender]] = "O", "Others",TRUE,"Unknown")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 - orders[[#This Row],[Order Date]]</f>
        <v>1</v>
      </c>
      <c r="N522">
        <f>WEEKNUM(orders[[#This Row],[Order Date]])</f>
        <v>4</v>
      </c>
      <c r="O522" t="str" cm="1">
        <f t="array" ref="O522">_xlfn.IFS(orders[[#This Row],[Customer Gender]] = "M", "Male",orders[[#This Row],[Customer Gender]] = "F", "Female",orders[[#This Row],[Customer Gender]] = "O", "Others",TRUE,"Unknown")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 - orders[[#This Row],[Order Date]]</f>
        <v>0</v>
      </c>
      <c r="N523">
        <f>WEEKNUM(orders[[#This Row],[Order Date]])</f>
        <v>4</v>
      </c>
      <c r="O523" t="str" cm="1">
        <f t="array" ref="O523">_xlfn.IFS(orders[[#This Row],[Customer Gender]] = "M", "Male",orders[[#This Row],[Customer Gender]] = "F", "Female",orders[[#This Row],[Customer Gender]] = "O", "Others",TRUE,"Unknown")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 - orders[[#This Row],[Order Date]]</f>
        <v>0</v>
      </c>
      <c r="N524">
        <f>WEEKNUM(orders[[#This Row],[Order Date]])</f>
        <v>4</v>
      </c>
      <c r="O524" t="str" cm="1">
        <f t="array" ref="O524">_xlfn.IFS(orders[[#This Row],[Customer Gender]] = "M", "Male",orders[[#This Row],[Customer Gender]] = "F", "Female",orders[[#This Row],[Customer Gender]] = "O", "Others",TRUE,"Unknown")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 - orders[[#This Row],[Order Date]]</f>
        <v>1</v>
      </c>
      <c r="N525">
        <f>WEEKNUM(orders[[#This Row],[Order Date]])</f>
        <v>4</v>
      </c>
      <c r="O525" t="str" cm="1">
        <f t="array" ref="O525">_xlfn.IFS(orders[[#This Row],[Customer Gender]] = "M", "Male",orders[[#This Row],[Customer Gender]] = "F", "Female",orders[[#This Row],[Customer Gender]] = "O", "Others",TRUE,"Unknown")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 - orders[[#This Row],[Order Date]]</f>
        <v>1</v>
      </c>
      <c r="N526">
        <f>WEEKNUM(orders[[#This Row],[Order Date]])</f>
        <v>4</v>
      </c>
      <c r="O526" t="str" cm="1">
        <f t="array" ref="O526">_xlfn.IFS(orders[[#This Row],[Customer Gender]] = "M", "Male",orders[[#This Row],[Customer Gender]] = "F", "Female",orders[[#This Row],[Customer Gender]] = "O", "Others",TRUE,"Unknown")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 - orders[[#This Row],[Order Date]]</f>
        <v>1</v>
      </c>
      <c r="N527">
        <f>WEEKNUM(orders[[#This Row],[Order Date]])</f>
        <v>4</v>
      </c>
      <c r="O527" t="str" cm="1">
        <f t="array" ref="O527">_xlfn.IFS(orders[[#This Row],[Customer Gender]] = "M", "Male",orders[[#This Row],[Customer Gender]] = "F", "Female",orders[[#This Row],[Customer Gender]] = "O", "Others",TRUE,"Unknown")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 - orders[[#This Row],[Order Date]]</f>
        <v>1</v>
      </c>
      <c r="N528">
        <f>WEEKNUM(orders[[#This Row],[Order Date]])</f>
        <v>4</v>
      </c>
      <c r="O528" t="str" cm="1">
        <f t="array" ref="O528">_xlfn.IFS(orders[[#This Row],[Customer Gender]] = "M", "Male",orders[[#This Row],[Customer Gender]] = "F", "Female",orders[[#This Row],[Customer Gender]] = "O", "Others",TRUE,"Unknown")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 - orders[[#This Row],[Order Date]]</f>
        <v>2</v>
      </c>
      <c r="N529">
        <f>WEEKNUM(orders[[#This Row],[Order Date]])</f>
        <v>4</v>
      </c>
      <c r="O529" t="str" cm="1">
        <f t="array" ref="O529">_xlfn.IFS(orders[[#This Row],[Customer Gender]] = "M", "Male",orders[[#This Row],[Customer Gender]] = "F", "Female",orders[[#This Row],[Customer Gender]] = "O", "Others",TRUE,"Unknown")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 - orders[[#This Row],[Order Date]]</f>
        <v>1</v>
      </c>
      <c r="N530">
        <f>WEEKNUM(orders[[#This Row],[Order Date]])</f>
        <v>4</v>
      </c>
      <c r="O530" t="str" cm="1">
        <f t="array" ref="O530">_xlfn.IFS(orders[[#This Row],[Customer Gender]] = "M", "Male",orders[[#This Row],[Customer Gender]] = "F", "Female",orders[[#This Row],[Customer Gender]] = "O", "Others",TRUE,"Unknown")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 - orders[[#This Row],[Order Date]]</f>
        <v>1</v>
      </c>
      <c r="N531">
        <f>WEEKNUM(orders[[#This Row],[Order Date]])</f>
        <v>4</v>
      </c>
      <c r="O531" t="str" cm="1">
        <f t="array" ref="O531">_xlfn.IFS(orders[[#This Row],[Customer Gender]] = "M", "Male",orders[[#This Row],[Customer Gender]] = "F", "Female",orders[[#This Row],[Customer Gender]] = "O", "Others",TRUE,"Unknown")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 - orders[[#This Row],[Order Date]]</f>
        <v>1</v>
      </c>
      <c r="N532">
        <f>WEEKNUM(orders[[#This Row],[Order Date]])</f>
        <v>4</v>
      </c>
      <c r="O532" t="str" cm="1">
        <f t="array" ref="O532">_xlfn.IFS(orders[[#This Row],[Customer Gender]] = "M", "Male",orders[[#This Row],[Customer Gender]] = "F", "Female",orders[[#This Row],[Customer Gender]] = "O", "Others",TRUE,"Unknown")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 - orders[[#This Row],[Order Date]]</f>
        <v>1</v>
      </c>
      <c r="N533">
        <f>WEEKNUM(orders[[#This Row],[Order Date]])</f>
        <v>4</v>
      </c>
      <c r="O533" t="str" cm="1">
        <f t="array" ref="O533">_xlfn.IFS(orders[[#This Row],[Customer Gender]] = "M", "Male",orders[[#This Row],[Customer Gender]] = "F", "Female",orders[[#This Row],[Customer Gender]] = "O", "Others",TRUE,"Unknown")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 - orders[[#This Row],[Order Date]]</f>
        <v>3</v>
      </c>
      <c r="N534">
        <f>WEEKNUM(orders[[#This Row],[Order Date]])</f>
        <v>4</v>
      </c>
      <c r="O534" t="str" cm="1">
        <f t="array" ref="O534">_xlfn.IFS(orders[[#This Row],[Customer Gender]] = "M", "Male",orders[[#This Row],[Customer Gender]] = "F", "Female",orders[[#This Row],[Customer Gender]] = "O", "Others",TRUE,"Unknown")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 - orders[[#This Row],[Order Date]]</f>
        <v>1</v>
      </c>
      <c r="N535">
        <f>WEEKNUM(orders[[#This Row],[Order Date]])</f>
        <v>4</v>
      </c>
      <c r="O535" t="str" cm="1">
        <f t="array" ref="O535">_xlfn.IFS(orders[[#This Row],[Customer Gender]] = "M", "Male",orders[[#This Row],[Customer Gender]] = "F", "Female",orders[[#This Row],[Customer Gender]] = "O", "Others",TRUE,"Unknown")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 - orders[[#This Row],[Order Date]]</f>
        <v>4</v>
      </c>
      <c r="N536">
        <f>WEEKNUM(orders[[#This Row],[Order Date]])</f>
        <v>4</v>
      </c>
      <c r="O536" t="str" cm="1">
        <f t="array" ref="O536">_xlfn.IFS(orders[[#This Row],[Customer Gender]] = "M", "Male",orders[[#This Row],[Customer Gender]] = "F", "Female",orders[[#This Row],[Customer Gender]] = "O", "Others",TRUE,"Unknown")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 - orders[[#This Row],[Order Date]]</f>
        <v>3</v>
      </c>
      <c r="N537">
        <f>WEEKNUM(orders[[#This Row],[Order Date]])</f>
        <v>4</v>
      </c>
      <c r="O537" t="str" cm="1">
        <f t="array" ref="O537">_xlfn.IFS(orders[[#This Row],[Customer Gender]] = "M", "Male",orders[[#This Row],[Customer Gender]] = "F", "Female",orders[[#This Row],[Customer Gender]] = "O", "Others",TRUE,"Unknown")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 - orders[[#This Row],[Order Date]]</f>
        <v>1</v>
      </c>
      <c r="N538">
        <f>WEEKNUM(orders[[#This Row],[Order Date]])</f>
        <v>4</v>
      </c>
      <c r="O538" t="str" cm="1">
        <f t="array" ref="O538">_xlfn.IFS(orders[[#This Row],[Customer Gender]] = "M", "Male",orders[[#This Row],[Customer Gender]] = "F", "Female",orders[[#This Row],[Customer Gender]] = "O", "Others",TRUE,"Unknown")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 - orders[[#This Row],[Order Date]]</f>
        <v>2</v>
      </c>
      <c r="N539">
        <f>WEEKNUM(orders[[#This Row],[Order Date]])</f>
        <v>4</v>
      </c>
      <c r="O539" t="str" cm="1">
        <f t="array" ref="O539">_xlfn.IFS(orders[[#This Row],[Customer Gender]] = "M", "Male",orders[[#This Row],[Customer Gender]] = "F", "Female",orders[[#This Row],[Customer Gender]] = "O", "Others",TRUE,"Unknown")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 - orders[[#This Row],[Order Date]]</f>
        <v>1</v>
      </c>
      <c r="N540">
        <f>WEEKNUM(orders[[#This Row],[Order Date]])</f>
        <v>4</v>
      </c>
      <c r="O540" t="str" cm="1">
        <f t="array" ref="O540">_xlfn.IFS(orders[[#This Row],[Customer Gender]] = "M", "Male",orders[[#This Row],[Customer Gender]] = "F", "Female",orders[[#This Row],[Customer Gender]] = "O", "Others",TRUE,"Unknown")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 - orders[[#This Row],[Order Date]]</f>
        <v>1</v>
      </c>
      <c r="N541">
        <f>WEEKNUM(orders[[#This Row],[Order Date]])</f>
        <v>4</v>
      </c>
      <c r="O541" t="str" cm="1">
        <f t="array" ref="O541">_xlfn.IFS(orders[[#This Row],[Customer Gender]] = "M", "Male",orders[[#This Row],[Customer Gender]] = "F", "Female",orders[[#This Row],[Customer Gender]] = "O", "Others",TRUE,"Unknown")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 - orders[[#This Row],[Order Date]]</f>
        <v>2</v>
      </c>
      <c r="N542">
        <f>WEEKNUM(orders[[#This Row],[Order Date]])</f>
        <v>4</v>
      </c>
      <c r="O542" t="str" cm="1">
        <f t="array" ref="O542">_xlfn.IFS(orders[[#This Row],[Customer Gender]] = "M", "Male",orders[[#This Row],[Customer Gender]] = "F", "Female",orders[[#This Row],[Customer Gender]] = "O", "Others",TRUE,"Unknown")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 - orders[[#This Row],[Order Date]]</f>
        <v>1</v>
      </c>
      <c r="N543">
        <f>WEEKNUM(orders[[#This Row],[Order Date]])</f>
        <v>4</v>
      </c>
      <c r="O543" t="str" cm="1">
        <f t="array" ref="O543">_xlfn.IFS(orders[[#This Row],[Customer Gender]] = "M", "Male",orders[[#This Row],[Customer Gender]] = "F", "Female",orders[[#This Row],[Customer Gender]] = "O", "Others",TRUE,"Unknown")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 - orders[[#This Row],[Order Date]]</f>
        <v>2</v>
      </c>
      <c r="N544">
        <f>WEEKNUM(orders[[#This Row],[Order Date]])</f>
        <v>4</v>
      </c>
      <c r="O544" t="str" cm="1">
        <f t="array" ref="O544">_xlfn.IFS(orders[[#This Row],[Customer Gender]] = "M", "Male",orders[[#This Row],[Customer Gender]] = "F", "Female",orders[[#This Row],[Customer Gender]] = "O", "Others",TRUE,"Unknown")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 - orders[[#This Row],[Order Date]]</f>
        <v>2</v>
      </c>
      <c r="N545">
        <f>WEEKNUM(orders[[#This Row],[Order Date]])</f>
        <v>4</v>
      </c>
      <c r="O545" t="str" cm="1">
        <f t="array" ref="O545">_xlfn.IFS(orders[[#This Row],[Customer Gender]] = "M", "Male",orders[[#This Row],[Customer Gender]] = "F", "Female",orders[[#This Row],[Customer Gender]] = "O", "Others",TRUE,"Unknown")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 - orders[[#This Row],[Order Date]]</f>
        <v>2</v>
      </c>
      <c r="N546">
        <f>WEEKNUM(orders[[#This Row],[Order Date]])</f>
        <v>4</v>
      </c>
      <c r="O546" t="str" cm="1">
        <f t="array" ref="O546">_xlfn.IFS(orders[[#This Row],[Customer Gender]] = "M", "Male",orders[[#This Row],[Customer Gender]] = "F", "Female",orders[[#This Row],[Customer Gender]] = "O", "Others",TRUE,"Unknown")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 - orders[[#This Row],[Order Date]]</f>
        <v>3</v>
      </c>
      <c r="N547">
        <f>WEEKNUM(orders[[#This Row],[Order Date]])</f>
        <v>4</v>
      </c>
      <c r="O547" t="str" cm="1">
        <f t="array" ref="O547">_xlfn.IFS(orders[[#This Row],[Customer Gender]] = "M", "Male",orders[[#This Row],[Customer Gender]] = "F", "Female",orders[[#This Row],[Customer Gender]] = "O", "Others",TRUE,"Unknown")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 - orders[[#This Row],[Order Date]]</f>
        <v>1</v>
      </c>
      <c r="N548">
        <f>WEEKNUM(orders[[#This Row],[Order Date]])</f>
        <v>4</v>
      </c>
      <c r="O548" t="str" cm="1">
        <f t="array" ref="O548">_xlfn.IFS(orders[[#This Row],[Customer Gender]] = "M", "Male",orders[[#This Row],[Customer Gender]] = "F", "Female",orders[[#This Row],[Customer Gender]] = "O", "Others",TRUE,"Unknown")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 - orders[[#This Row],[Order Date]]</f>
        <v>3</v>
      </c>
      <c r="N549">
        <f>WEEKNUM(orders[[#This Row],[Order Date]])</f>
        <v>4</v>
      </c>
      <c r="O549" t="str" cm="1">
        <f t="array" ref="O549">_xlfn.IFS(orders[[#This Row],[Customer Gender]] = "M", "Male",orders[[#This Row],[Customer Gender]] = "F", "Female",orders[[#This Row],[Customer Gender]] = "O", "Others",TRUE,"Unknown")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 - orders[[#This Row],[Order Date]]</f>
        <v>0</v>
      </c>
      <c r="N550">
        <f>WEEKNUM(orders[[#This Row],[Order Date]])</f>
        <v>4</v>
      </c>
      <c r="O550" t="str" cm="1">
        <f t="array" ref="O550">_xlfn.IFS(orders[[#This Row],[Customer Gender]] = "M", "Male",orders[[#This Row],[Customer Gender]] = "F", "Female",orders[[#This Row],[Customer Gender]] = "O", "Others",TRUE,"Unknown")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 - orders[[#This Row],[Order Date]]</f>
        <v>1</v>
      </c>
      <c r="N551">
        <f>WEEKNUM(orders[[#This Row],[Order Date]])</f>
        <v>4</v>
      </c>
      <c r="O551" t="str" cm="1">
        <f t="array" ref="O551">_xlfn.IFS(orders[[#This Row],[Customer Gender]] = "M", "Male",orders[[#This Row],[Customer Gender]] = "F", "Female",orders[[#This Row],[Customer Gender]] = "O", "Others",TRUE,"Unknown")</f>
        <v>Others</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 - orders[[#This Row],[Order Date]]</f>
        <v>1</v>
      </c>
      <c r="N552">
        <f>WEEKNUM(orders[[#This Row],[Order Date]])</f>
        <v>4</v>
      </c>
      <c r="O552" t="str" cm="1">
        <f t="array" ref="O552">_xlfn.IFS(orders[[#This Row],[Customer Gender]] = "M", "Male",orders[[#This Row],[Customer Gender]] = "F", "Female",orders[[#This Row],[Customer Gender]] = "O", "Others",TRUE,"Unknown")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 - orders[[#This Row],[Order Date]]</f>
        <v>1</v>
      </c>
      <c r="N553">
        <f>WEEKNUM(orders[[#This Row],[Order Date]])</f>
        <v>4</v>
      </c>
      <c r="O553" t="str" cm="1">
        <f t="array" ref="O553">_xlfn.IFS(orders[[#This Row],[Customer Gender]] = "M", "Male",orders[[#This Row],[Customer Gender]] = "F", "Female",orders[[#This Row],[Customer Gender]] = "O", "Others",TRUE,"Unknown")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 - orders[[#This Row],[Order Date]]</f>
        <v>1</v>
      </c>
      <c r="N554">
        <f>WEEKNUM(orders[[#This Row],[Order Date]])</f>
        <v>4</v>
      </c>
      <c r="O554" t="str" cm="1">
        <f t="array" ref="O554">_xlfn.IFS(orders[[#This Row],[Customer Gender]] = "M", "Male",orders[[#This Row],[Customer Gender]] = "F", "Female",orders[[#This Row],[Customer Gender]] = "O", "Others",TRUE,"Unknown")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 - orders[[#This Row],[Order Date]]</f>
        <v>0</v>
      </c>
      <c r="N555">
        <f>WEEKNUM(orders[[#This Row],[Order Date]])</f>
        <v>4</v>
      </c>
      <c r="O555" t="str" cm="1">
        <f t="array" ref="O555">_xlfn.IFS(orders[[#This Row],[Customer Gender]] = "M", "Male",orders[[#This Row],[Customer Gender]] = "F", "Female",orders[[#This Row],[Customer Gender]] = "O", "Others",TRUE,"Unknown")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 - orders[[#This Row],[Order Date]]</f>
        <v>1</v>
      </c>
      <c r="N556">
        <f>WEEKNUM(orders[[#This Row],[Order Date]])</f>
        <v>4</v>
      </c>
      <c r="O556" t="str" cm="1">
        <f t="array" ref="O556">_xlfn.IFS(orders[[#This Row],[Customer Gender]] = "M", "Male",orders[[#This Row],[Customer Gender]] = "F", "Female",orders[[#This Row],[Customer Gender]] = "O", "Others",TRUE,"Unknown")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 - orders[[#This Row],[Order Date]]</f>
        <v>1</v>
      </c>
      <c r="N557">
        <f>WEEKNUM(orders[[#This Row],[Order Date]])</f>
        <v>4</v>
      </c>
      <c r="O557" t="str" cm="1">
        <f t="array" ref="O557">_xlfn.IFS(orders[[#This Row],[Customer Gender]] = "M", "Male",orders[[#This Row],[Customer Gender]] = "F", "Female",orders[[#This Row],[Customer Gender]] = "O", "Others",TRUE,"Unknown")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 - orders[[#This Row],[Order Date]]</f>
        <v>3</v>
      </c>
      <c r="N558">
        <f>WEEKNUM(orders[[#This Row],[Order Date]])</f>
        <v>4</v>
      </c>
      <c r="O558" t="str" cm="1">
        <f t="array" ref="O558">_xlfn.IFS(orders[[#This Row],[Customer Gender]] = "M", "Male",orders[[#This Row],[Customer Gender]] = "F", "Female",orders[[#This Row],[Customer Gender]] = "O", "Others",TRUE,"Unknown")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 - orders[[#This Row],[Order Date]]</f>
        <v>2</v>
      </c>
      <c r="N559">
        <f>WEEKNUM(orders[[#This Row],[Order Date]])</f>
        <v>4</v>
      </c>
      <c r="O559" t="str" cm="1">
        <f t="array" ref="O559">_xlfn.IFS(orders[[#This Row],[Customer Gender]] = "M", "Male",orders[[#This Row],[Customer Gender]] = "F", "Female",orders[[#This Row],[Customer Gender]] = "O", "Others",TRUE,"Unknown")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 - orders[[#This Row],[Order Date]]</f>
        <v>1</v>
      </c>
      <c r="N560">
        <f>WEEKNUM(orders[[#This Row],[Order Date]])</f>
        <v>4</v>
      </c>
      <c r="O560" t="str" cm="1">
        <f t="array" ref="O560">_xlfn.IFS(orders[[#This Row],[Customer Gender]] = "M", "Male",orders[[#This Row],[Customer Gender]] = "F", "Female",orders[[#This Row],[Customer Gender]] = "O", "Others",TRUE,"Unknown")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 - orders[[#This Row],[Order Date]]</f>
        <v>5</v>
      </c>
      <c r="N561">
        <f>WEEKNUM(orders[[#This Row],[Order Date]])</f>
        <v>4</v>
      </c>
      <c r="O561" t="str" cm="1">
        <f t="array" ref="O561">_xlfn.IFS(orders[[#This Row],[Customer Gender]] = "M", "Male",orders[[#This Row],[Customer Gender]] = "F", "Female",orders[[#This Row],[Customer Gender]] = "O", "Others",TRUE,"Unknown")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 - orders[[#This Row],[Order Date]]</f>
        <v>1</v>
      </c>
      <c r="N562">
        <f>WEEKNUM(orders[[#This Row],[Order Date]])</f>
        <v>4</v>
      </c>
      <c r="O562" t="str" cm="1">
        <f t="array" ref="O562">_xlfn.IFS(orders[[#This Row],[Customer Gender]] = "M", "Male",orders[[#This Row],[Customer Gender]] = "F", "Female",orders[[#This Row],[Customer Gender]] = "O", "Others",TRUE,"Unknown")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 - orders[[#This Row],[Order Date]]</f>
        <v>2</v>
      </c>
      <c r="N563">
        <f>WEEKNUM(orders[[#This Row],[Order Date]])</f>
        <v>4</v>
      </c>
      <c r="O563" t="str" cm="1">
        <f t="array" ref="O563">_xlfn.IFS(orders[[#This Row],[Customer Gender]] = "M", "Male",orders[[#This Row],[Customer Gender]] = "F", "Female",orders[[#This Row],[Customer Gender]] = "O", "Others",TRUE,"Unknown")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 - orders[[#This Row],[Order Date]]</f>
        <v>3</v>
      </c>
      <c r="N564">
        <f>WEEKNUM(orders[[#This Row],[Order Date]])</f>
        <v>4</v>
      </c>
      <c r="O564" t="str" cm="1">
        <f t="array" ref="O564">_xlfn.IFS(orders[[#This Row],[Customer Gender]] = "M", "Male",orders[[#This Row],[Customer Gender]] = "F", "Female",orders[[#This Row],[Customer Gender]] = "O", "Others",TRUE,"Unknown")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 - orders[[#This Row],[Order Date]]</f>
        <v>3</v>
      </c>
      <c r="N565">
        <f>WEEKNUM(orders[[#This Row],[Order Date]])</f>
        <v>4</v>
      </c>
      <c r="O565" t="str" cm="1">
        <f t="array" ref="O565">_xlfn.IFS(orders[[#This Row],[Customer Gender]] = "M", "Male",orders[[#This Row],[Customer Gender]] = "F", "Female",orders[[#This Row],[Customer Gender]] = "O", "Others",TRUE,"Unknown")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 - orders[[#This Row],[Order Date]]</f>
        <v>2</v>
      </c>
      <c r="N566">
        <f>WEEKNUM(orders[[#This Row],[Order Date]])</f>
        <v>4</v>
      </c>
      <c r="O566" t="str" cm="1">
        <f t="array" ref="O566">_xlfn.IFS(orders[[#This Row],[Customer Gender]] = "M", "Male",orders[[#This Row],[Customer Gender]] = "F", "Female",orders[[#This Row],[Customer Gender]] = "O", "Others",TRUE,"Unknown")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 - orders[[#This Row],[Order Date]]</f>
        <v>7</v>
      </c>
      <c r="N567">
        <f>WEEKNUM(orders[[#This Row],[Order Date]])</f>
        <v>4</v>
      </c>
      <c r="O567" t="str" cm="1">
        <f t="array" ref="O567">_xlfn.IFS(orders[[#This Row],[Customer Gender]] = "M", "Male",orders[[#This Row],[Customer Gender]] = "F", "Female",orders[[#This Row],[Customer Gender]] = "O", "Others",TRUE,"Unknown")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 - orders[[#This Row],[Order Date]]</f>
        <v>1</v>
      </c>
      <c r="N568">
        <f>WEEKNUM(orders[[#This Row],[Order Date]])</f>
        <v>4</v>
      </c>
      <c r="O568" t="str" cm="1">
        <f t="array" ref="O568">_xlfn.IFS(orders[[#This Row],[Customer Gender]] = "M", "Male",orders[[#This Row],[Customer Gender]] = "F", "Female",orders[[#This Row],[Customer Gender]] = "O", "Others",TRUE,"Unknown")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 - orders[[#This Row],[Order Date]]</f>
        <v>13</v>
      </c>
      <c r="N569">
        <f>WEEKNUM(orders[[#This Row],[Order Date]])</f>
        <v>4</v>
      </c>
      <c r="O569" t="str" cm="1">
        <f t="array" ref="O569">_xlfn.IFS(orders[[#This Row],[Customer Gender]] = "M", "Male",orders[[#This Row],[Customer Gender]] = "F", "Female",orders[[#This Row],[Customer Gender]] = "O", "Others",TRUE,"Unknown")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 - orders[[#This Row],[Order Date]]</f>
        <v>3</v>
      </c>
      <c r="N570">
        <f>WEEKNUM(orders[[#This Row],[Order Date]])</f>
        <v>4</v>
      </c>
      <c r="O570" t="str" cm="1">
        <f t="array" ref="O570">_xlfn.IFS(orders[[#This Row],[Customer Gender]] = "M", "Male",orders[[#This Row],[Customer Gender]] = "F", "Female",orders[[#This Row],[Customer Gender]] = "O", "Others",TRUE,"Unknown")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 - orders[[#This Row],[Order Date]]</f>
        <v>2</v>
      </c>
      <c r="N571">
        <f>WEEKNUM(orders[[#This Row],[Order Date]])</f>
        <v>4</v>
      </c>
      <c r="O571" t="str" cm="1">
        <f t="array" ref="O571">_xlfn.IFS(orders[[#This Row],[Customer Gender]] = "M", "Male",orders[[#This Row],[Customer Gender]] = "F", "Female",orders[[#This Row],[Customer Gender]] = "O", "Others",TRUE,"Unknown")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 - orders[[#This Row],[Order Date]]</f>
        <v>2</v>
      </c>
      <c r="N572">
        <f>WEEKNUM(orders[[#This Row],[Order Date]])</f>
        <v>4</v>
      </c>
      <c r="O572" t="str" cm="1">
        <f t="array" ref="O572">_xlfn.IFS(orders[[#This Row],[Customer Gender]] = "M", "Male",orders[[#This Row],[Customer Gender]] = "F", "Female",orders[[#This Row],[Customer Gender]] = "O", "Others",TRUE,"Unknown")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 - orders[[#This Row],[Order Date]]</f>
        <v>1</v>
      </c>
      <c r="N573">
        <f>WEEKNUM(orders[[#This Row],[Order Date]])</f>
        <v>4</v>
      </c>
      <c r="O573" t="str" cm="1">
        <f t="array" ref="O573">_xlfn.IFS(orders[[#This Row],[Customer Gender]] = "M", "Male",orders[[#This Row],[Customer Gender]] = "F", "Female",orders[[#This Row],[Customer Gender]] = "O", "Others",TRUE,"Unknown")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 - orders[[#This Row],[Order Date]]</f>
        <v>1</v>
      </c>
      <c r="N574">
        <f>WEEKNUM(orders[[#This Row],[Order Date]])</f>
        <v>4</v>
      </c>
      <c r="O574" t="str" cm="1">
        <f t="array" ref="O574">_xlfn.IFS(orders[[#This Row],[Customer Gender]] = "M", "Male",orders[[#This Row],[Customer Gender]] = "F", "Female",orders[[#This Row],[Customer Gender]] = "O", "Others",TRUE,"Unknown")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 - orders[[#This Row],[Order Date]]</f>
        <v>5</v>
      </c>
      <c r="N575">
        <f>WEEKNUM(orders[[#This Row],[Order Date]])</f>
        <v>4</v>
      </c>
      <c r="O575" t="str" cm="1">
        <f t="array" ref="O575">_xlfn.IFS(orders[[#This Row],[Customer Gender]] = "M", "Male",orders[[#This Row],[Customer Gender]] = "F", "Female",orders[[#This Row],[Customer Gender]] = "O", "Others",TRUE,"Unknown")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 - orders[[#This Row],[Order Date]]</f>
        <v>0</v>
      </c>
      <c r="N576">
        <f>WEEKNUM(orders[[#This Row],[Order Date]])</f>
        <v>4</v>
      </c>
      <c r="O576" t="str" cm="1">
        <f t="array" ref="O576">_xlfn.IFS(orders[[#This Row],[Customer Gender]] = "M", "Male",orders[[#This Row],[Customer Gender]] = "F", "Female",orders[[#This Row],[Customer Gender]] = "O", "Others",TRUE,"Unknown")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 - orders[[#This Row],[Order Date]]</f>
        <v>3</v>
      </c>
      <c r="N577">
        <f>WEEKNUM(orders[[#This Row],[Order Date]])</f>
        <v>4</v>
      </c>
      <c r="O577" t="str" cm="1">
        <f t="array" ref="O577">_xlfn.IFS(orders[[#This Row],[Customer Gender]] = "M", "Male",orders[[#This Row],[Customer Gender]] = "F", "Female",orders[[#This Row],[Customer Gender]] = "O", "Others",TRUE,"Unknown")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 - orders[[#This Row],[Order Date]]</f>
        <v>2</v>
      </c>
      <c r="N578">
        <f>WEEKNUM(orders[[#This Row],[Order Date]])</f>
        <v>4</v>
      </c>
      <c r="O578" t="str" cm="1">
        <f t="array" ref="O578">_xlfn.IFS(orders[[#This Row],[Customer Gender]] = "M", "Male",orders[[#This Row],[Customer Gender]] = "F", "Female",orders[[#This Row],[Customer Gender]] = "O", "Others",TRUE,"Unknown")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 - orders[[#This Row],[Order Date]]</f>
        <v>1</v>
      </c>
      <c r="N579">
        <f>WEEKNUM(orders[[#This Row],[Order Date]])</f>
        <v>4</v>
      </c>
      <c r="O579" t="str" cm="1">
        <f t="array" ref="O579">_xlfn.IFS(orders[[#This Row],[Customer Gender]] = "M", "Male",orders[[#This Row],[Customer Gender]] = "F", "Female",orders[[#This Row],[Customer Gender]] = "O", "Others",TRUE,"Unknown")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 - orders[[#This Row],[Order Date]]</f>
        <v>4</v>
      </c>
      <c r="N580">
        <f>WEEKNUM(orders[[#This Row],[Order Date]])</f>
        <v>4</v>
      </c>
      <c r="O580" t="str" cm="1">
        <f t="array" ref="O580">_xlfn.IFS(orders[[#This Row],[Customer Gender]] = "M", "Male",orders[[#This Row],[Customer Gender]] = "F", "Female",orders[[#This Row],[Customer Gender]] = "O", "Others",TRUE,"Unknown")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 - orders[[#This Row],[Order Date]]</f>
        <v>3</v>
      </c>
      <c r="N581">
        <f>WEEKNUM(orders[[#This Row],[Order Date]])</f>
        <v>4</v>
      </c>
      <c r="O581" t="str" cm="1">
        <f t="array" ref="O581">_xlfn.IFS(orders[[#This Row],[Customer Gender]] = "M", "Male",orders[[#This Row],[Customer Gender]] = "F", "Female",orders[[#This Row],[Customer Gender]] = "O", "Others",TRUE,"Unknown")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 - orders[[#This Row],[Order Date]]</f>
        <v>0</v>
      </c>
      <c r="N582">
        <f>WEEKNUM(orders[[#This Row],[Order Date]])</f>
        <v>4</v>
      </c>
      <c r="O582" t="str" cm="1">
        <f t="array" ref="O582">_xlfn.IFS(orders[[#This Row],[Customer Gender]] = "M", "Male",orders[[#This Row],[Customer Gender]] = "F", "Female",orders[[#This Row],[Customer Gender]] = "O", "Others",TRUE,"Unknown")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 - orders[[#This Row],[Order Date]]</f>
        <v>2</v>
      </c>
      <c r="N583">
        <f>WEEKNUM(orders[[#This Row],[Order Date]])</f>
        <v>4</v>
      </c>
      <c r="O583" t="str" cm="1">
        <f t="array" ref="O583">_xlfn.IFS(orders[[#This Row],[Customer Gender]] = "M", "Male",orders[[#This Row],[Customer Gender]] = "F", "Female",orders[[#This Row],[Customer Gender]] = "O", "Others",TRUE,"Unknown")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 - orders[[#This Row],[Order Date]]</f>
        <v>0</v>
      </c>
      <c r="N584">
        <f>WEEKNUM(orders[[#This Row],[Order Date]])</f>
        <v>5</v>
      </c>
      <c r="O584" t="str" cm="1">
        <f t="array" ref="O584">_xlfn.IFS(orders[[#This Row],[Customer Gender]] = "M", "Male",orders[[#This Row],[Customer Gender]] = "F", "Female",orders[[#This Row],[Customer Gender]] = "O", "Others",TRUE,"Unknown")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 - orders[[#This Row],[Order Date]]</f>
        <v>0</v>
      </c>
      <c r="N585">
        <f>WEEKNUM(orders[[#This Row],[Order Date]])</f>
        <v>5</v>
      </c>
      <c r="O585" t="str" cm="1">
        <f t="array" ref="O585">_xlfn.IFS(orders[[#This Row],[Customer Gender]] = "M", "Male",orders[[#This Row],[Customer Gender]] = "F", "Female",orders[[#This Row],[Customer Gender]] = "O", "Others",TRUE,"Unknown")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 - orders[[#This Row],[Order Date]]</f>
        <v>2</v>
      </c>
      <c r="N586">
        <f>WEEKNUM(orders[[#This Row],[Order Date]])</f>
        <v>5</v>
      </c>
      <c r="O586" t="str" cm="1">
        <f t="array" ref="O586">_xlfn.IFS(orders[[#This Row],[Customer Gender]] = "M", "Male",orders[[#This Row],[Customer Gender]] = "F", "Female",orders[[#This Row],[Customer Gender]] = "O", "Others",TRUE,"Unknown")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 - orders[[#This Row],[Order Date]]</f>
        <v>3</v>
      </c>
      <c r="N587">
        <f>WEEKNUM(orders[[#This Row],[Order Date]])</f>
        <v>5</v>
      </c>
      <c r="O587" t="str" cm="1">
        <f t="array" ref="O587">_xlfn.IFS(orders[[#This Row],[Customer Gender]] = "M", "Male",orders[[#This Row],[Customer Gender]] = "F", "Female",orders[[#This Row],[Customer Gender]] = "O", "Others",TRUE,"Unknown")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 - orders[[#This Row],[Order Date]]</f>
        <v>5</v>
      </c>
      <c r="N588">
        <f>WEEKNUM(orders[[#This Row],[Order Date]])</f>
        <v>5</v>
      </c>
      <c r="O588" t="str" cm="1">
        <f t="array" ref="O588">_xlfn.IFS(orders[[#This Row],[Customer Gender]] = "M", "Male",orders[[#This Row],[Customer Gender]] = "F", "Female",orders[[#This Row],[Customer Gender]] = "O", "Others",TRUE,"Unknown")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 - orders[[#This Row],[Order Date]]</f>
        <v>1</v>
      </c>
      <c r="N589">
        <f>WEEKNUM(orders[[#This Row],[Order Date]])</f>
        <v>5</v>
      </c>
      <c r="O589" t="str" cm="1">
        <f t="array" ref="O589">_xlfn.IFS(orders[[#This Row],[Customer Gender]] = "M", "Male",orders[[#This Row],[Customer Gender]] = "F", "Female",orders[[#This Row],[Customer Gender]] = "O", "Others",TRUE,"Unknown")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 - orders[[#This Row],[Order Date]]</f>
        <v>1</v>
      </c>
      <c r="N590">
        <f>WEEKNUM(orders[[#This Row],[Order Date]])</f>
        <v>5</v>
      </c>
      <c r="O590" t="str" cm="1">
        <f t="array" ref="O590">_xlfn.IFS(orders[[#This Row],[Customer Gender]] = "M", "Male",orders[[#This Row],[Customer Gender]] = "F", "Female",orders[[#This Row],[Customer Gender]] = "O", "Others",TRUE,"Unknown")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 - orders[[#This Row],[Order Date]]</f>
        <v>1</v>
      </c>
      <c r="N591">
        <f>WEEKNUM(orders[[#This Row],[Order Date]])</f>
        <v>5</v>
      </c>
      <c r="O591" t="str" cm="1">
        <f t="array" ref="O591">_xlfn.IFS(orders[[#This Row],[Customer Gender]] = "M", "Male",orders[[#This Row],[Customer Gender]] = "F", "Female",orders[[#This Row],[Customer Gender]] = "O", "Others",TRUE,"Unknown")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 - orders[[#This Row],[Order Date]]</f>
        <v>1</v>
      </c>
      <c r="N592">
        <f>WEEKNUM(orders[[#This Row],[Order Date]])</f>
        <v>5</v>
      </c>
      <c r="O592" t="str" cm="1">
        <f t="array" ref="O592">_xlfn.IFS(orders[[#This Row],[Customer Gender]] = "M", "Male",orders[[#This Row],[Customer Gender]] = "F", "Female",orders[[#This Row],[Customer Gender]] = "O", "Others",TRUE,"Unknown")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 - orders[[#This Row],[Order Date]]</f>
        <v>1</v>
      </c>
      <c r="N593">
        <f>WEEKNUM(orders[[#This Row],[Order Date]])</f>
        <v>5</v>
      </c>
      <c r="O593" t="str" cm="1">
        <f t="array" ref="O593">_xlfn.IFS(orders[[#This Row],[Customer Gender]] = "M", "Male",orders[[#This Row],[Customer Gender]] = "F", "Female",orders[[#This Row],[Customer Gender]] = "O", "Others",TRUE,"Unknown")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 - orders[[#This Row],[Order Date]]</f>
        <v>0</v>
      </c>
      <c r="N594">
        <f>WEEKNUM(orders[[#This Row],[Order Date]])</f>
        <v>5</v>
      </c>
      <c r="O594" t="str" cm="1">
        <f t="array" ref="O594">_xlfn.IFS(orders[[#This Row],[Customer Gender]] = "M", "Male",orders[[#This Row],[Customer Gender]] = "F", "Female",orders[[#This Row],[Customer Gender]] = "O", "Others",TRUE,"Unknown")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 - orders[[#This Row],[Order Date]]</f>
        <v>1</v>
      </c>
      <c r="N595">
        <f>WEEKNUM(orders[[#This Row],[Order Date]])</f>
        <v>5</v>
      </c>
      <c r="O595" t="str" cm="1">
        <f t="array" ref="O595">_xlfn.IFS(orders[[#This Row],[Customer Gender]] = "M", "Male",orders[[#This Row],[Customer Gender]] = "F", "Female",orders[[#This Row],[Customer Gender]] = "O", "Others",TRUE,"Unknown")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 - orders[[#This Row],[Order Date]]</f>
        <v>4</v>
      </c>
      <c r="N596">
        <f>WEEKNUM(orders[[#This Row],[Order Date]])</f>
        <v>5</v>
      </c>
      <c r="O596" t="str" cm="1">
        <f t="array" ref="O596">_xlfn.IFS(orders[[#This Row],[Customer Gender]] = "M", "Male",orders[[#This Row],[Customer Gender]] = "F", "Female",orders[[#This Row],[Customer Gender]] = "O", "Others",TRUE,"Unknown")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 - orders[[#This Row],[Order Date]]</f>
        <v>2</v>
      </c>
      <c r="N597">
        <f>WEEKNUM(orders[[#This Row],[Order Date]])</f>
        <v>5</v>
      </c>
      <c r="O597" t="str" cm="1">
        <f t="array" ref="O597">_xlfn.IFS(orders[[#This Row],[Customer Gender]] = "M", "Male",orders[[#This Row],[Customer Gender]] = "F", "Female",orders[[#This Row],[Customer Gender]] = "O", "Others",TRUE,"Unknown")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 - orders[[#This Row],[Order Date]]</f>
        <v>1</v>
      </c>
      <c r="N598">
        <f>WEEKNUM(orders[[#This Row],[Order Date]])</f>
        <v>5</v>
      </c>
      <c r="O598" t="str" cm="1">
        <f t="array" ref="O598">_xlfn.IFS(orders[[#This Row],[Customer Gender]] = "M", "Male",orders[[#This Row],[Customer Gender]] = "F", "Female",orders[[#This Row],[Customer Gender]] = "O", "Others",TRUE,"Unknown")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 - orders[[#This Row],[Order Date]]</f>
        <v>0</v>
      </c>
      <c r="N599">
        <f>WEEKNUM(orders[[#This Row],[Order Date]])</f>
        <v>5</v>
      </c>
      <c r="O599" t="str" cm="1">
        <f t="array" ref="O599">_xlfn.IFS(orders[[#This Row],[Customer Gender]] = "M", "Male",orders[[#This Row],[Customer Gender]] = "F", "Female",orders[[#This Row],[Customer Gender]] = "O", "Others",TRUE,"Unknown")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 - orders[[#This Row],[Order Date]]</f>
        <v>2</v>
      </c>
      <c r="N600">
        <f>WEEKNUM(orders[[#This Row],[Order Date]])</f>
        <v>5</v>
      </c>
      <c r="O600" t="str" cm="1">
        <f t="array" ref="O600">_xlfn.IFS(orders[[#This Row],[Customer Gender]] = "M", "Male",orders[[#This Row],[Customer Gender]] = "F", "Female",orders[[#This Row],[Customer Gender]] = "O", "Others",TRUE,"Unknown")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 - orders[[#This Row],[Order Date]]</f>
        <v>1</v>
      </c>
      <c r="N601">
        <f>WEEKNUM(orders[[#This Row],[Order Date]])</f>
        <v>5</v>
      </c>
      <c r="O601" t="str" cm="1">
        <f t="array" ref="O601">_xlfn.IFS(orders[[#This Row],[Customer Gender]] = "M", "Male",orders[[#This Row],[Customer Gender]] = "F", "Female",orders[[#This Row],[Customer Gender]] = "O", "Others",TRUE,"Unknown")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 - orders[[#This Row],[Order Date]]</f>
        <v>3</v>
      </c>
      <c r="N602">
        <f>WEEKNUM(orders[[#This Row],[Order Date]])</f>
        <v>5</v>
      </c>
      <c r="O602" t="str" cm="1">
        <f t="array" ref="O602">_xlfn.IFS(orders[[#This Row],[Customer Gender]] = "M", "Male",orders[[#This Row],[Customer Gender]] = "F", "Female",orders[[#This Row],[Customer Gender]] = "O", "Others",TRUE,"Unknown")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 - orders[[#This Row],[Order Date]]</f>
        <v>1</v>
      </c>
      <c r="N603">
        <f>WEEKNUM(orders[[#This Row],[Order Date]])</f>
        <v>5</v>
      </c>
      <c r="O603" t="str" cm="1">
        <f t="array" ref="O603">_xlfn.IFS(orders[[#This Row],[Customer Gender]] = "M", "Male",orders[[#This Row],[Customer Gender]] = "F", "Female",orders[[#This Row],[Customer Gender]] = "O", "Others",TRUE,"Unknown")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 - orders[[#This Row],[Order Date]]</f>
        <v>1</v>
      </c>
      <c r="N604">
        <f>WEEKNUM(orders[[#This Row],[Order Date]])</f>
        <v>5</v>
      </c>
      <c r="O604" t="str" cm="1">
        <f t="array" ref="O604">_xlfn.IFS(orders[[#This Row],[Customer Gender]] = "M", "Male",orders[[#This Row],[Customer Gender]] = "F", "Female",orders[[#This Row],[Customer Gender]] = "O", "Others",TRUE,"Unknown")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 - orders[[#This Row],[Order Date]]</f>
        <v>2</v>
      </c>
      <c r="N605">
        <f>WEEKNUM(orders[[#This Row],[Order Date]])</f>
        <v>5</v>
      </c>
      <c r="O605" t="str" cm="1">
        <f t="array" ref="O605">_xlfn.IFS(orders[[#This Row],[Customer Gender]] = "M", "Male",orders[[#This Row],[Customer Gender]] = "F", "Female",orders[[#This Row],[Customer Gender]] = "O", "Others",TRUE,"Unknown")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 - orders[[#This Row],[Order Date]]</f>
        <v>1</v>
      </c>
      <c r="N606">
        <f>WEEKNUM(orders[[#This Row],[Order Date]])</f>
        <v>5</v>
      </c>
      <c r="O606" t="str" cm="1">
        <f t="array" ref="O606">_xlfn.IFS(orders[[#This Row],[Customer Gender]] = "M", "Male",orders[[#This Row],[Customer Gender]] = "F", "Female",orders[[#This Row],[Customer Gender]] = "O", "Others",TRUE,"Unknown")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 - orders[[#This Row],[Order Date]]</f>
        <v>2</v>
      </c>
      <c r="N607">
        <f>WEEKNUM(orders[[#This Row],[Order Date]])</f>
        <v>5</v>
      </c>
      <c r="O607" t="str" cm="1">
        <f t="array" ref="O607">_xlfn.IFS(orders[[#This Row],[Customer Gender]] = "M", "Male",orders[[#This Row],[Customer Gender]] = "F", "Female",orders[[#This Row],[Customer Gender]] = "O", "Others",TRUE,"Unknown")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 - orders[[#This Row],[Order Date]]</f>
        <v>0</v>
      </c>
      <c r="N608">
        <f>WEEKNUM(orders[[#This Row],[Order Date]])</f>
        <v>5</v>
      </c>
      <c r="O608" t="str" cm="1">
        <f t="array" ref="O608">_xlfn.IFS(orders[[#This Row],[Customer Gender]] = "M", "Male",orders[[#This Row],[Customer Gender]] = "F", "Female",orders[[#This Row],[Customer Gender]] = "O", "Others",TRUE,"Unknown")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 - orders[[#This Row],[Order Date]]</f>
        <v>3</v>
      </c>
      <c r="N609">
        <f>WEEKNUM(orders[[#This Row],[Order Date]])</f>
        <v>5</v>
      </c>
      <c r="O609" t="str" cm="1">
        <f t="array" ref="O609">_xlfn.IFS(orders[[#This Row],[Customer Gender]] = "M", "Male",orders[[#This Row],[Customer Gender]] = "F", "Female",orders[[#This Row],[Customer Gender]] = "O", "Others",TRUE,"Unknown")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 - orders[[#This Row],[Order Date]]</f>
        <v>2</v>
      </c>
      <c r="N610">
        <f>WEEKNUM(orders[[#This Row],[Order Date]])</f>
        <v>5</v>
      </c>
      <c r="O610" t="str" cm="1">
        <f t="array" ref="O610">_xlfn.IFS(orders[[#This Row],[Customer Gender]] = "M", "Male",orders[[#This Row],[Customer Gender]] = "F", "Female",orders[[#This Row],[Customer Gender]] = "O", "Others",TRUE,"Unknown")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 - orders[[#This Row],[Order Date]]</f>
        <v>4</v>
      </c>
      <c r="N611">
        <f>WEEKNUM(orders[[#This Row],[Order Date]])</f>
        <v>5</v>
      </c>
      <c r="O611" t="str" cm="1">
        <f t="array" ref="O611">_xlfn.IFS(orders[[#This Row],[Customer Gender]] = "M", "Male",orders[[#This Row],[Customer Gender]] = "F", "Female",orders[[#This Row],[Customer Gender]] = "O", "Others",TRUE,"Unknown")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 - orders[[#This Row],[Order Date]]</f>
        <v>1</v>
      </c>
      <c r="N612">
        <f>WEEKNUM(orders[[#This Row],[Order Date]])</f>
        <v>5</v>
      </c>
      <c r="O612" t="str" cm="1">
        <f t="array" ref="O612">_xlfn.IFS(orders[[#This Row],[Customer Gender]] = "M", "Male",orders[[#This Row],[Customer Gender]] = "F", "Female",orders[[#This Row],[Customer Gender]] = "O", "Others",TRUE,"Unknown")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 - orders[[#This Row],[Order Date]]</f>
        <v>1</v>
      </c>
      <c r="N613">
        <f>WEEKNUM(orders[[#This Row],[Order Date]])</f>
        <v>5</v>
      </c>
      <c r="O613" t="str" cm="1">
        <f t="array" ref="O613">_xlfn.IFS(orders[[#This Row],[Customer Gender]] = "M", "Male",orders[[#This Row],[Customer Gender]] = "F", "Female",orders[[#This Row],[Customer Gender]] = "O", "Others",TRUE,"Unknown")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 - orders[[#This Row],[Order Date]]</f>
        <v>1</v>
      </c>
      <c r="N614">
        <f>WEEKNUM(orders[[#This Row],[Order Date]])</f>
        <v>5</v>
      </c>
      <c r="O614" t="str" cm="1">
        <f t="array" ref="O614">_xlfn.IFS(orders[[#This Row],[Customer Gender]] = "M", "Male",orders[[#This Row],[Customer Gender]] = "F", "Female",orders[[#This Row],[Customer Gender]] = "O", "Others",TRUE,"Unknown")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 - orders[[#This Row],[Order Date]]</f>
        <v>2</v>
      </c>
      <c r="N615">
        <f>WEEKNUM(orders[[#This Row],[Order Date]])</f>
        <v>5</v>
      </c>
      <c r="O615" t="str" cm="1">
        <f t="array" ref="O615">_xlfn.IFS(orders[[#This Row],[Customer Gender]] = "M", "Male",orders[[#This Row],[Customer Gender]] = "F", "Female",orders[[#This Row],[Customer Gender]] = "O", "Others",TRUE,"Unknown")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 - orders[[#This Row],[Order Date]]</f>
        <v>2</v>
      </c>
      <c r="N616">
        <f>WEEKNUM(orders[[#This Row],[Order Date]])</f>
        <v>5</v>
      </c>
      <c r="O616" t="str" cm="1">
        <f t="array" ref="O616">_xlfn.IFS(orders[[#This Row],[Customer Gender]] = "M", "Male",orders[[#This Row],[Customer Gender]] = "F", "Female",orders[[#This Row],[Customer Gender]] = "O", "Others",TRUE,"Unknown")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 - orders[[#This Row],[Order Date]]</f>
        <v>1</v>
      </c>
      <c r="N617">
        <f>WEEKNUM(orders[[#This Row],[Order Date]])</f>
        <v>5</v>
      </c>
      <c r="O617" t="str" cm="1">
        <f t="array" ref="O617">_xlfn.IFS(orders[[#This Row],[Customer Gender]] = "M", "Male",orders[[#This Row],[Customer Gender]] = "F", "Female",orders[[#This Row],[Customer Gender]] = "O", "Others",TRUE,"Unknown")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 - orders[[#This Row],[Order Date]]</f>
        <v>1</v>
      </c>
      <c r="N618">
        <f>WEEKNUM(orders[[#This Row],[Order Date]])</f>
        <v>5</v>
      </c>
      <c r="O618" t="str" cm="1">
        <f t="array" ref="O618">_xlfn.IFS(orders[[#This Row],[Customer Gender]] = "M", "Male",orders[[#This Row],[Customer Gender]] = "F", "Female",orders[[#This Row],[Customer Gender]] = "O", "Others",TRUE,"Unknown")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 - orders[[#This Row],[Order Date]]</f>
        <v>1</v>
      </c>
      <c r="N619">
        <f>WEEKNUM(orders[[#This Row],[Order Date]])</f>
        <v>5</v>
      </c>
      <c r="O619" t="str" cm="1">
        <f t="array" ref="O619">_xlfn.IFS(orders[[#This Row],[Customer Gender]] = "M", "Male",orders[[#This Row],[Customer Gender]] = "F", "Female",orders[[#This Row],[Customer Gender]] = "O", "Others",TRUE,"Unknown")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 - orders[[#This Row],[Order Date]]</f>
        <v>1</v>
      </c>
      <c r="N620">
        <f>WEEKNUM(orders[[#This Row],[Order Date]])</f>
        <v>5</v>
      </c>
      <c r="O620" t="str" cm="1">
        <f t="array" ref="O620">_xlfn.IFS(orders[[#This Row],[Customer Gender]] = "M", "Male",orders[[#This Row],[Customer Gender]] = "F", "Female",orders[[#This Row],[Customer Gender]] = "O", "Others",TRUE,"Unknown")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 - orders[[#This Row],[Order Date]]</f>
        <v>0</v>
      </c>
      <c r="N621">
        <f>WEEKNUM(orders[[#This Row],[Order Date]])</f>
        <v>5</v>
      </c>
      <c r="O621" t="str" cm="1">
        <f t="array" ref="O621">_xlfn.IFS(orders[[#This Row],[Customer Gender]] = "M", "Male",orders[[#This Row],[Customer Gender]] = "F", "Female",orders[[#This Row],[Customer Gender]] = "O", "Others",TRUE,"Unknown")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 - orders[[#This Row],[Order Date]]</f>
        <v>4</v>
      </c>
      <c r="N622">
        <f>WEEKNUM(orders[[#This Row],[Order Date]])</f>
        <v>5</v>
      </c>
      <c r="O622" t="str" cm="1">
        <f t="array" ref="O622">_xlfn.IFS(orders[[#This Row],[Customer Gender]] = "M", "Male",orders[[#This Row],[Customer Gender]] = "F", "Female",orders[[#This Row],[Customer Gender]] = "O", "Others",TRUE,"Unknown")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 - orders[[#This Row],[Order Date]]</f>
        <v>0</v>
      </c>
      <c r="N623">
        <f>WEEKNUM(orders[[#This Row],[Order Date]])</f>
        <v>5</v>
      </c>
      <c r="O623" t="str" cm="1">
        <f t="array" ref="O623">_xlfn.IFS(orders[[#This Row],[Customer Gender]] = "M", "Male",orders[[#This Row],[Customer Gender]] = "F", "Female",orders[[#This Row],[Customer Gender]] = "O", "Others",TRUE,"Unknown")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 - orders[[#This Row],[Order Date]]</f>
        <v>5</v>
      </c>
      <c r="N624">
        <f>WEEKNUM(orders[[#This Row],[Order Date]])</f>
        <v>5</v>
      </c>
      <c r="O624" t="str" cm="1">
        <f t="array" ref="O624">_xlfn.IFS(orders[[#This Row],[Customer Gender]] = "M", "Male",orders[[#This Row],[Customer Gender]] = "F", "Female",orders[[#This Row],[Customer Gender]] = "O", "Others",TRUE,"Unknown")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 - orders[[#This Row],[Order Date]]</f>
        <v>1</v>
      </c>
      <c r="N625">
        <f>WEEKNUM(orders[[#This Row],[Order Date]])</f>
        <v>5</v>
      </c>
      <c r="O625" t="str" cm="1">
        <f t="array" ref="O625">_xlfn.IFS(orders[[#This Row],[Customer Gender]] = "M", "Male",orders[[#This Row],[Customer Gender]] = "F", "Female",orders[[#This Row],[Customer Gender]] = "O", "Others",TRUE,"Unknown")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 - orders[[#This Row],[Order Date]]</f>
        <v>2</v>
      </c>
      <c r="N626">
        <f>WEEKNUM(orders[[#This Row],[Order Date]])</f>
        <v>5</v>
      </c>
      <c r="O626" t="str" cm="1">
        <f t="array" ref="O626">_xlfn.IFS(orders[[#This Row],[Customer Gender]] = "M", "Male",orders[[#This Row],[Customer Gender]] = "F", "Female",orders[[#This Row],[Customer Gender]] = "O", "Others",TRUE,"Unknown")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 - orders[[#This Row],[Order Date]]</f>
        <v>2</v>
      </c>
      <c r="N627">
        <f>WEEKNUM(orders[[#This Row],[Order Date]])</f>
        <v>5</v>
      </c>
      <c r="O627" t="str" cm="1">
        <f t="array" ref="O627">_xlfn.IFS(orders[[#This Row],[Customer Gender]] = "M", "Male",orders[[#This Row],[Customer Gender]] = "F", "Female",orders[[#This Row],[Customer Gender]] = "O", "Others",TRUE,"Unknown")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 - orders[[#This Row],[Order Date]]</f>
        <v>1</v>
      </c>
      <c r="N628">
        <f>WEEKNUM(orders[[#This Row],[Order Date]])</f>
        <v>5</v>
      </c>
      <c r="O628" t="str" cm="1">
        <f t="array" ref="O628">_xlfn.IFS(orders[[#This Row],[Customer Gender]] = "M", "Male",orders[[#This Row],[Customer Gender]] = "F", "Female",orders[[#This Row],[Customer Gender]] = "O", "Others",TRUE,"Unknown")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 - orders[[#This Row],[Order Date]]</f>
        <v>1</v>
      </c>
      <c r="N629">
        <f>WEEKNUM(orders[[#This Row],[Order Date]])</f>
        <v>5</v>
      </c>
      <c r="O629" t="str" cm="1">
        <f t="array" ref="O629">_xlfn.IFS(orders[[#This Row],[Customer Gender]] = "M", "Male",orders[[#This Row],[Customer Gender]] = "F", "Female",orders[[#This Row],[Customer Gender]] = "O", "Others",TRUE,"Unknown")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 - orders[[#This Row],[Order Date]]</f>
        <v>2</v>
      </c>
      <c r="N630">
        <f>WEEKNUM(orders[[#This Row],[Order Date]])</f>
        <v>5</v>
      </c>
      <c r="O630" t="str" cm="1">
        <f t="array" ref="O630">_xlfn.IFS(orders[[#This Row],[Customer Gender]] = "M", "Male",orders[[#This Row],[Customer Gender]] = "F", "Female",orders[[#This Row],[Customer Gender]] = "O", "Others",TRUE,"Unknown")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 - orders[[#This Row],[Order Date]]</f>
        <v>3</v>
      </c>
      <c r="N631">
        <f>WEEKNUM(orders[[#This Row],[Order Date]])</f>
        <v>5</v>
      </c>
      <c r="O631" t="str" cm="1">
        <f t="array" ref="O631">_xlfn.IFS(orders[[#This Row],[Customer Gender]] = "M", "Male",orders[[#This Row],[Customer Gender]] = "F", "Female",orders[[#This Row],[Customer Gender]] = "O", "Others",TRUE,"Unknown")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 - orders[[#This Row],[Order Date]]</f>
        <v>1</v>
      </c>
      <c r="N632">
        <f>WEEKNUM(orders[[#This Row],[Order Date]])</f>
        <v>5</v>
      </c>
      <c r="O632" t="str" cm="1">
        <f t="array" ref="O632">_xlfn.IFS(orders[[#This Row],[Customer Gender]] = "M", "Male",orders[[#This Row],[Customer Gender]] = "F", "Female",orders[[#This Row],[Customer Gender]] = "O", "Others",TRUE,"Unknown")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 - orders[[#This Row],[Order Date]]</f>
        <v>1</v>
      </c>
      <c r="N633">
        <f>WEEKNUM(orders[[#This Row],[Order Date]])</f>
        <v>5</v>
      </c>
      <c r="O633" t="str" cm="1">
        <f t="array" ref="O633">_xlfn.IFS(orders[[#This Row],[Customer Gender]] = "M", "Male",orders[[#This Row],[Customer Gender]] = "F", "Female",orders[[#This Row],[Customer Gender]] = "O", "Others",TRUE,"Unknown")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 - orders[[#This Row],[Order Date]]</f>
        <v>1</v>
      </c>
      <c r="N634">
        <f>WEEKNUM(orders[[#This Row],[Order Date]])</f>
        <v>5</v>
      </c>
      <c r="O634" t="str" cm="1">
        <f t="array" ref="O634">_xlfn.IFS(orders[[#This Row],[Customer Gender]] = "M", "Male",orders[[#This Row],[Customer Gender]] = "F", "Female",orders[[#This Row],[Customer Gender]] = "O", "Others",TRUE,"Unknown")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 - orders[[#This Row],[Order Date]]</f>
        <v>1</v>
      </c>
      <c r="N635">
        <f>WEEKNUM(orders[[#This Row],[Order Date]])</f>
        <v>5</v>
      </c>
      <c r="O635" t="str" cm="1">
        <f t="array" ref="O635">_xlfn.IFS(orders[[#This Row],[Customer Gender]] = "M", "Male",orders[[#This Row],[Customer Gender]] = "F", "Female",orders[[#This Row],[Customer Gender]] = "O", "Others",TRUE,"Unknown")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 - orders[[#This Row],[Order Date]]</f>
        <v>7</v>
      </c>
      <c r="N636">
        <f>WEEKNUM(orders[[#This Row],[Order Date]])</f>
        <v>5</v>
      </c>
      <c r="O636" t="str" cm="1">
        <f t="array" ref="O636">_xlfn.IFS(orders[[#This Row],[Customer Gender]] = "M", "Male",orders[[#This Row],[Customer Gender]] = "F", "Female",orders[[#This Row],[Customer Gender]] = "O", "Others",TRUE,"Unknown")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 - orders[[#This Row],[Order Date]]</f>
        <v>0</v>
      </c>
      <c r="N637">
        <f>WEEKNUM(orders[[#This Row],[Order Date]])</f>
        <v>5</v>
      </c>
      <c r="O637" t="str" cm="1">
        <f t="array" ref="O637">_xlfn.IFS(orders[[#This Row],[Customer Gender]] = "M", "Male",orders[[#This Row],[Customer Gender]] = "F", "Female",orders[[#This Row],[Customer Gender]] = "O", "Others",TRUE,"Unknown")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 - orders[[#This Row],[Order Date]]</f>
        <v>5</v>
      </c>
      <c r="N638">
        <f>WEEKNUM(orders[[#This Row],[Order Date]])</f>
        <v>5</v>
      </c>
      <c r="O638" t="str" cm="1">
        <f t="array" ref="O638">_xlfn.IFS(orders[[#This Row],[Customer Gender]] = "M", "Male",orders[[#This Row],[Customer Gender]] = "F", "Female",orders[[#This Row],[Customer Gender]] = "O", "Others",TRUE,"Unknown")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 - orders[[#This Row],[Order Date]]</f>
        <v>2</v>
      </c>
      <c r="N639">
        <f>WEEKNUM(orders[[#This Row],[Order Date]])</f>
        <v>5</v>
      </c>
      <c r="O639" t="str" cm="1">
        <f t="array" ref="O639">_xlfn.IFS(orders[[#This Row],[Customer Gender]] = "M", "Male",orders[[#This Row],[Customer Gender]] = "F", "Female",orders[[#This Row],[Customer Gender]] = "O", "Others",TRUE,"Unknown")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 - orders[[#This Row],[Order Date]]</f>
        <v>2</v>
      </c>
      <c r="N640">
        <f>WEEKNUM(orders[[#This Row],[Order Date]])</f>
        <v>5</v>
      </c>
      <c r="O640" t="str" cm="1">
        <f t="array" ref="O640">_xlfn.IFS(orders[[#This Row],[Customer Gender]] = "M", "Male",orders[[#This Row],[Customer Gender]] = "F", "Female",orders[[#This Row],[Customer Gender]] = "O", "Others",TRUE,"Unknown")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 - orders[[#This Row],[Order Date]]</f>
        <v>2</v>
      </c>
      <c r="N641">
        <f>WEEKNUM(orders[[#This Row],[Order Date]])</f>
        <v>5</v>
      </c>
      <c r="O641" t="str" cm="1">
        <f t="array" ref="O641">_xlfn.IFS(orders[[#This Row],[Customer Gender]] = "M", "Male",orders[[#This Row],[Customer Gender]] = "F", "Female",orders[[#This Row],[Customer Gender]] = "O", "Others",TRUE,"Unknown")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 - orders[[#This Row],[Order Date]]</f>
        <v>3</v>
      </c>
      <c r="N642">
        <f>WEEKNUM(orders[[#This Row],[Order Date]])</f>
        <v>5</v>
      </c>
      <c r="O642" t="str" cm="1">
        <f t="array" ref="O642">_xlfn.IFS(orders[[#This Row],[Customer Gender]] = "M", "Male",orders[[#This Row],[Customer Gender]] = "F", "Female",orders[[#This Row],[Customer Gender]] = "O", "Others",TRUE,"Unknown")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 - orders[[#This Row],[Order Date]]</f>
        <v>2</v>
      </c>
      <c r="N643">
        <f>WEEKNUM(orders[[#This Row],[Order Date]])</f>
        <v>5</v>
      </c>
      <c r="O643" t="str" cm="1">
        <f t="array" ref="O643">_xlfn.IFS(orders[[#This Row],[Customer Gender]] = "M", "Male",orders[[#This Row],[Customer Gender]] = "F", "Female",orders[[#This Row],[Customer Gender]] = "O", "Others",TRUE,"Unknown")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 - orders[[#This Row],[Order Date]]</f>
        <v>2</v>
      </c>
      <c r="N644">
        <f>WEEKNUM(orders[[#This Row],[Order Date]])</f>
        <v>5</v>
      </c>
      <c r="O644" t="str" cm="1">
        <f t="array" ref="O644">_xlfn.IFS(orders[[#This Row],[Customer Gender]] = "M", "Male",orders[[#This Row],[Customer Gender]] = "F", "Female",orders[[#This Row],[Customer Gender]] = "O", "Others",TRUE,"Unknown")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 - orders[[#This Row],[Order Date]]</f>
        <v>1</v>
      </c>
      <c r="N645">
        <f>WEEKNUM(orders[[#This Row],[Order Date]])</f>
        <v>5</v>
      </c>
      <c r="O645" t="str" cm="1">
        <f t="array" ref="O645">_xlfn.IFS(orders[[#This Row],[Customer Gender]] = "M", "Male",orders[[#This Row],[Customer Gender]] = "F", "Female",orders[[#This Row],[Customer Gender]] = "O", "Others",TRUE,"Unknown")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 - orders[[#This Row],[Order Date]]</f>
        <v>2</v>
      </c>
      <c r="N646">
        <f>WEEKNUM(orders[[#This Row],[Order Date]])</f>
        <v>5</v>
      </c>
      <c r="O646" t="str" cm="1">
        <f t="array" ref="O646">_xlfn.IFS(orders[[#This Row],[Customer Gender]] = "M", "Male",orders[[#This Row],[Customer Gender]] = "F", "Female",orders[[#This Row],[Customer Gender]] = "O", "Others",TRUE,"Unknown")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 - orders[[#This Row],[Order Date]]</f>
        <v>5</v>
      </c>
      <c r="N647">
        <f>WEEKNUM(orders[[#This Row],[Order Date]])</f>
        <v>5</v>
      </c>
      <c r="O647" t="str" cm="1">
        <f t="array" ref="O647">_xlfn.IFS(orders[[#This Row],[Customer Gender]] = "M", "Male",orders[[#This Row],[Customer Gender]] = "F", "Female",orders[[#This Row],[Customer Gender]] = "O", "Others",TRUE,"Unknown")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 - orders[[#This Row],[Order Date]]</f>
        <v>0</v>
      </c>
      <c r="N648">
        <f>WEEKNUM(orders[[#This Row],[Order Date]])</f>
        <v>5</v>
      </c>
      <c r="O648" t="str" cm="1">
        <f t="array" ref="O648">_xlfn.IFS(orders[[#This Row],[Customer Gender]] = "M", "Male",orders[[#This Row],[Customer Gender]] = "F", "Female",orders[[#This Row],[Customer Gender]] = "O", "Others",TRUE,"Unknown")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 - orders[[#This Row],[Order Date]]</f>
        <v>4</v>
      </c>
      <c r="N649">
        <f>WEEKNUM(orders[[#This Row],[Order Date]])</f>
        <v>5</v>
      </c>
      <c r="O649" t="str" cm="1">
        <f t="array" ref="O649">_xlfn.IFS(orders[[#This Row],[Customer Gender]] = "M", "Male",orders[[#This Row],[Customer Gender]] = "F", "Female",orders[[#This Row],[Customer Gender]] = "O", "Others",TRUE,"Unknown")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 - orders[[#This Row],[Order Date]]</f>
        <v>5</v>
      </c>
      <c r="N650">
        <f>WEEKNUM(orders[[#This Row],[Order Date]])</f>
        <v>5</v>
      </c>
      <c r="O650" t="str" cm="1">
        <f t="array" ref="O650">_xlfn.IFS(orders[[#This Row],[Customer Gender]] = "M", "Male",orders[[#This Row],[Customer Gender]] = "F", "Female",orders[[#This Row],[Customer Gender]] = "O", "Others",TRUE,"Unknown")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 - orders[[#This Row],[Order Date]]</f>
        <v>1</v>
      </c>
      <c r="N651">
        <f>WEEKNUM(orders[[#This Row],[Order Date]])</f>
        <v>5</v>
      </c>
      <c r="O651" t="str" cm="1">
        <f t="array" ref="O651">_xlfn.IFS(orders[[#This Row],[Customer Gender]] = "M", "Male",orders[[#This Row],[Customer Gender]] = "F", "Female",orders[[#This Row],[Customer Gender]] = "O", "Others",TRUE,"Unknown")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 - orders[[#This Row],[Order Date]]</f>
        <v>11</v>
      </c>
      <c r="N652">
        <f>WEEKNUM(orders[[#This Row],[Order Date]])</f>
        <v>5</v>
      </c>
      <c r="O652" t="str" cm="1">
        <f t="array" ref="O652">_xlfn.IFS(orders[[#This Row],[Customer Gender]] = "M", "Male",orders[[#This Row],[Customer Gender]] = "F", "Female",orders[[#This Row],[Customer Gender]] = "O", "Others",TRUE,"Unknown")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 - orders[[#This Row],[Order Date]]</f>
        <v>3</v>
      </c>
      <c r="N653">
        <f>WEEKNUM(orders[[#This Row],[Order Date]])</f>
        <v>5</v>
      </c>
      <c r="O653" t="str" cm="1">
        <f t="array" ref="O653">_xlfn.IFS(orders[[#This Row],[Customer Gender]] = "M", "Male",orders[[#This Row],[Customer Gender]] = "F", "Female",orders[[#This Row],[Customer Gender]] = "O", "Others",TRUE,"Unknown")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 - orders[[#This Row],[Order Date]]</f>
        <v>1</v>
      </c>
      <c r="N654">
        <f>WEEKNUM(orders[[#This Row],[Order Date]])</f>
        <v>5</v>
      </c>
      <c r="O654" t="str" cm="1">
        <f t="array" ref="O654">_xlfn.IFS(orders[[#This Row],[Customer Gender]] = "M", "Male",orders[[#This Row],[Customer Gender]] = "F", "Female",orders[[#This Row],[Customer Gender]] = "O", "Others",TRUE,"Unknown")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 - orders[[#This Row],[Order Date]]</f>
        <v>6</v>
      </c>
      <c r="N655">
        <f>WEEKNUM(orders[[#This Row],[Order Date]])</f>
        <v>5</v>
      </c>
      <c r="O655" t="str" cm="1">
        <f t="array" ref="O655">_xlfn.IFS(orders[[#This Row],[Customer Gender]] = "M", "Male",orders[[#This Row],[Customer Gender]] = "F", "Female",orders[[#This Row],[Customer Gender]] = "O", "Others",TRUE,"Unknown")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 - orders[[#This Row],[Order Date]]</f>
        <v>1</v>
      </c>
      <c r="N656">
        <f>WEEKNUM(orders[[#This Row],[Order Date]])</f>
        <v>5</v>
      </c>
      <c r="O656" t="str" cm="1">
        <f t="array" ref="O656">_xlfn.IFS(orders[[#This Row],[Customer Gender]] = "M", "Male",orders[[#This Row],[Customer Gender]] = "F", "Female",orders[[#This Row],[Customer Gender]] = "O", "Others",TRUE,"Unknown")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 - orders[[#This Row],[Order Date]]</f>
        <v>4</v>
      </c>
      <c r="N657">
        <f>WEEKNUM(orders[[#This Row],[Order Date]])</f>
        <v>5</v>
      </c>
      <c r="O657" t="str" cm="1">
        <f t="array" ref="O657">_xlfn.IFS(orders[[#This Row],[Customer Gender]] = "M", "Male",orders[[#This Row],[Customer Gender]] = "F", "Female",orders[[#This Row],[Customer Gender]] = "O", "Others",TRUE,"Unknown")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 - orders[[#This Row],[Order Date]]</f>
        <v>2</v>
      </c>
      <c r="N658">
        <f>WEEKNUM(orders[[#This Row],[Order Date]])</f>
        <v>5</v>
      </c>
      <c r="O658" t="str" cm="1">
        <f t="array" ref="O658">_xlfn.IFS(orders[[#This Row],[Customer Gender]] = "M", "Male",orders[[#This Row],[Customer Gender]] = "F", "Female",orders[[#This Row],[Customer Gender]] = "O", "Others",TRUE,"Unknown")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 - orders[[#This Row],[Order Date]]</f>
        <v>1</v>
      </c>
      <c r="N659">
        <f>WEEKNUM(orders[[#This Row],[Order Date]])</f>
        <v>5</v>
      </c>
      <c r="O659" t="str" cm="1">
        <f t="array" ref="O659">_xlfn.IFS(orders[[#This Row],[Customer Gender]] = "M", "Male",orders[[#This Row],[Customer Gender]] = "F", "Female",orders[[#This Row],[Customer Gender]] = "O", "Others",TRUE,"Unknown")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 - orders[[#This Row],[Order Date]]</f>
        <v>6</v>
      </c>
      <c r="N660">
        <f>WEEKNUM(orders[[#This Row],[Order Date]])</f>
        <v>5</v>
      </c>
      <c r="O660" t="str" cm="1">
        <f t="array" ref="O660">_xlfn.IFS(orders[[#This Row],[Customer Gender]] = "M", "Male",orders[[#This Row],[Customer Gender]] = "F", "Female",orders[[#This Row],[Customer Gender]] = "O", "Others",TRUE,"Unknown")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 - orders[[#This Row],[Order Date]]</f>
        <v>2</v>
      </c>
      <c r="N661">
        <f>WEEKNUM(orders[[#This Row],[Order Date]])</f>
        <v>5</v>
      </c>
      <c r="O661" t="str" cm="1">
        <f t="array" ref="O661">_xlfn.IFS(orders[[#This Row],[Customer Gender]] = "M", "Male",orders[[#This Row],[Customer Gender]] = "F", "Female",orders[[#This Row],[Customer Gender]] = "O", "Others",TRUE,"Unknown")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 - orders[[#This Row],[Order Date]]</f>
        <v>1</v>
      </c>
      <c r="N662">
        <f>WEEKNUM(orders[[#This Row],[Order Date]])</f>
        <v>5</v>
      </c>
      <c r="O662" t="str" cm="1">
        <f t="array" ref="O662">_xlfn.IFS(orders[[#This Row],[Customer Gender]] = "M", "Male",orders[[#This Row],[Customer Gender]] = "F", "Female",orders[[#This Row],[Customer Gender]] = "O", "Others",TRUE,"Unknown")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 - orders[[#This Row],[Order Date]]</f>
        <v>2</v>
      </c>
      <c r="N663">
        <f>WEEKNUM(orders[[#This Row],[Order Date]])</f>
        <v>5</v>
      </c>
      <c r="O663" t="str" cm="1">
        <f t="array" ref="O663">_xlfn.IFS(orders[[#This Row],[Customer Gender]] = "M", "Male",orders[[#This Row],[Customer Gender]] = "F", "Female",orders[[#This Row],[Customer Gender]] = "O", "Others",TRUE,"Unknown")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 - orders[[#This Row],[Order Date]]</f>
        <v>1</v>
      </c>
      <c r="N664">
        <f>WEEKNUM(orders[[#This Row],[Order Date]])</f>
        <v>5</v>
      </c>
      <c r="O664" t="str" cm="1">
        <f t="array" ref="O664">_xlfn.IFS(orders[[#This Row],[Customer Gender]] = "M", "Male",orders[[#This Row],[Customer Gender]] = "F", "Female",orders[[#This Row],[Customer Gender]] = "O", "Others",TRUE,"Unknown")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 - orders[[#This Row],[Order Date]]</f>
        <v>2</v>
      </c>
      <c r="N665">
        <f>WEEKNUM(orders[[#This Row],[Order Date]])</f>
        <v>5</v>
      </c>
      <c r="O665" t="str" cm="1">
        <f t="array" ref="O665">_xlfn.IFS(orders[[#This Row],[Customer Gender]] = "M", "Male",orders[[#This Row],[Customer Gender]] = "F", "Female",orders[[#This Row],[Customer Gender]] = "O", "Others",TRUE,"Unknown")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 - orders[[#This Row],[Order Date]]</f>
        <v>2</v>
      </c>
      <c r="N666">
        <f>WEEKNUM(orders[[#This Row],[Order Date]])</f>
        <v>5</v>
      </c>
      <c r="O666" t="str" cm="1">
        <f t="array" ref="O666">_xlfn.IFS(orders[[#This Row],[Customer Gender]] = "M", "Male",orders[[#This Row],[Customer Gender]] = "F", "Female",orders[[#This Row],[Customer Gender]] = "O", "Others",TRUE,"Unknown")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 - orders[[#This Row],[Order Date]]</f>
        <v>0</v>
      </c>
      <c r="N667">
        <f>WEEKNUM(orders[[#This Row],[Order Date]])</f>
        <v>5</v>
      </c>
      <c r="O667" t="str" cm="1">
        <f t="array" ref="O667">_xlfn.IFS(orders[[#This Row],[Customer Gender]] = "M", "Male",orders[[#This Row],[Customer Gender]] = "F", "Female",orders[[#This Row],[Customer Gender]] = "O", "Others",TRUE,"Unknown")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 - orders[[#This Row],[Order Date]]</f>
        <v>2</v>
      </c>
      <c r="N668">
        <f>WEEKNUM(orders[[#This Row],[Order Date]])</f>
        <v>5</v>
      </c>
      <c r="O668" t="str" cm="1">
        <f t="array" ref="O668">_xlfn.IFS(orders[[#This Row],[Customer Gender]] = "M", "Male",orders[[#This Row],[Customer Gender]] = "F", "Female",orders[[#This Row],[Customer Gender]] = "O", "Others",TRUE,"Unknown")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 - orders[[#This Row],[Order Date]]</f>
        <v>1</v>
      </c>
      <c r="N669">
        <f>WEEKNUM(orders[[#This Row],[Order Date]])</f>
        <v>5</v>
      </c>
      <c r="O669" t="str" cm="1">
        <f t="array" ref="O669">_xlfn.IFS(orders[[#This Row],[Customer Gender]] = "M", "Male",orders[[#This Row],[Customer Gender]] = "F", "Female",orders[[#This Row],[Customer Gender]] = "O", "Others",TRUE,"Unknown")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 - orders[[#This Row],[Order Date]]</f>
        <v>1</v>
      </c>
      <c r="N670">
        <f>WEEKNUM(orders[[#This Row],[Order Date]])</f>
        <v>5</v>
      </c>
      <c r="O670" t="str" cm="1">
        <f t="array" ref="O670">_xlfn.IFS(orders[[#This Row],[Customer Gender]] = "M", "Male",orders[[#This Row],[Customer Gender]] = "F", "Female",orders[[#This Row],[Customer Gender]] = "O", "Others",TRUE,"Unknown")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 - orders[[#This Row],[Order Date]]</f>
        <v>7</v>
      </c>
      <c r="N671">
        <f>WEEKNUM(orders[[#This Row],[Order Date]])</f>
        <v>5</v>
      </c>
      <c r="O671" t="str" cm="1">
        <f t="array" ref="O671">_xlfn.IFS(orders[[#This Row],[Customer Gender]] = "M", "Male",orders[[#This Row],[Customer Gender]] = "F", "Female",orders[[#This Row],[Customer Gender]] = "O", "Others",TRUE,"Unknown")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 - orders[[#This Row],[Order Date]]</f>
        <v>11</v>
      </c>
      <c r="N672">
        <f>WEEKNUM(orders[[#This Row],[Order Date]])</f>
        <v>5</v>
      </c>
      <c r="O672" t="str" cm="1">
        <f t="array" ref="O672">_xlfn.IFS(orders[[#This Row],[Customer Gender]] = "M", "Male",orders[[#This Row],[Customer Gender]] = "F", "Female",orders[[#This Row],[Customer Gender]] = "O", "Others",TRUE,"Unknown")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 - orders[[#This Row],[Order Date]]</f>
        <v>6</v>
      </c>
      <c r="N673">
        <f>WEEKNUM(orders[[#This Row],[Order Date]])</f>
        <v>5</v>
      </c>
      <c r="O673" t="str" cm="1">
        <f t="array" ref="O673">_xlfn.IFS(orders[[#This Row],[Customer Gender]] = "M", "Male",orders[[#This Row],[Customer Gender]] = "F", "Female",orders[[#This Row],[Customer Gender]] = "O", "Others",TRUE,"Unknown")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 - orders[[#This Row],[Order Date]]</f>
        <v>2</v>
      </c>
      <c r="N674">
        <f>WEEKNUM(orders[[#This Row],[Order Date]])</f>
        <v>5</v>
      </c>
      <c r="O674" t="str" cm="1">
        <f t="array" ref="O674">_xlfn.IFS(orders[[#This Row],[Customer Gender]] = "M", "Male",orders[[#This Row],[Customer Gender]] = "F", "Female",orders[[#This Row],[Customer Gender]] = "O", "Others",TRUE,"Unknown")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 - orders[[#This Row],[Order Date]]</f>
        <v>0</v>
      </c>
      <c r="N675">
        <f>WEEKNUM(orders[[#This Row],[Order Date]])</f>
        <v>5</v>
      </c>
      <c r="O675" t="str" cm="1">
        <f t="array" ref="O675">_xlfn.IFS(orders[[#This Row],[Customer Gender]] = "M", "Male",orders[[#This Row],[Customer Gender]] = "F", "Female",orders[[#This Row],[Customer Gender]] = "O", "Others",TRUE,"Unknown")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 - orders[[#This Row],[Order Date]]</f>
        <v>7</v>
      </c>
      <c r="N676">
        <f>WEEKNUM(orders[[#This Row],[Order Date]])</f>
        <v>5</v>
      </c>
      <c r="O676" t="str" cm="1">
        <f t="array" ref="O676">_xlfn.IFS(orders[[#This Row],[Customer Gender]] = "M", "Male",orders[[#This Row],[Customer Gender]] = "F", "Female",orders[[#This Row],[Customer Gender]] = "O", "Others",TRUE,"Unknown")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 - orders[[#This Row],[Order Date]]</f>
        <v>2</v>
      </c>
      <c r="N677">
        <f>WEEKNUM(orders[[#This Row],[Order Date]])</f>
        <v>5</v>
      </c>
      <c r="O677" t="str" cm="1">
        <f t="array" ref="O677">_xlfn.IFS(orders[[#This Row],[Customer Gender]] = "M", "Male",orders[[#This Row],[Customer Gender]] = "F", "Female",orders[[#This Row],[Customer Gender]] = "O", "Others",TRUE,"Unknown")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 - orders[[#This Row],[Order Date]]</f>
        <v>1</v>
      </c>
      <c r="N678">
        <f>WEEKNUM(orders[[#This Row],[Order Date]])</f>
        <v>5</v>
      </c>
      <c r="O678" t="str" cm="1">
        <f t="array" ref="O678">_xlfn.IFS(orders[[#This Row],[Customer Gender]] = "M", "Male",orders[[#This Row],[Customer Gender]] = "F", "Female",orders[[#This Row],[Customer Gender]] = "O", "Others",TRUE,"Unknown")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 - orders[[#This Row],[Order Date]]</f>
        <v>2</v>
      </c>
      <c r="N679">
        <f>WEEKNUM(orders[[#This Row],[Order Date]])</f>
        <v>5</v>
      </c>
      <c r="O679" t="str" cm="1">
        <f t="array" ref="O679">_xlfn.IFS(orders[[#This Row],[Customer Gender]] = "M", "Male",orders[[#This Row],[Customer Gender]] = "F", "Female",orders[[#This Row],[Customer Gender]] = "O", "Others",TRUE,"Unknown")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 - orders[[#This Row],[Order Date]]</f>
        <v>3</v>
      </c>
      <c r="N680">
        <f>WEEKNUM(orders[[#This Row],[Order Date]])</f>
        <v>5</v>
      </c>
      <c r="O680" t="str" cm="1">
        <f t="array" ref="O680">_xlfn.IFS(orders[[#This Row],[Customer Gender]] = "M", "Male",orders[[#This Row],[Customer Gender]] = "F", "Female",orders[[#This Row],[Customer Gender]] = "O", "Others",TRUE,"Unknown")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 - orders[[#This Row],[Order Date]]</f>
        <v>2</v>
      </c>
      <c r="N681">
        <f>WEEKNUM(orders[[#This Row],[Order Date]])</f>
        <v>5</v>
      </c>
      <c r="O681" t="str" cm="1">
        <f t="array" ref="O681">_xlfn.IFS(orders[[#This Row],[Customer Gender]] = "M", "Male",orders[[#This Row],[Customer Gender]] = "F", "Female",orders[[#This Row],[Customer Gender]] = "O", "Others",TRUE,"Unknown")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 - orders[[#This Row],[Order Date]]</f>
        <v>4</v>
      </c>
      <c r="N682">
        <f>WEEKNUM(orders[[#This Row],[Order Date]])</f>
        <v>5</v>
      </c>
      <c r="O682" t="str" cm="1">
        <f t="array" ref="O682">_xlfn.IFS(orders[[#This Row],[Customer Gender]] = "M", "Male",orders[[#This Row],[Customer Gender]] = "F", "Female",orders[[#This Row],[Customer Gender]] = "O", "Others",TRUE,"Unknown")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 - orders[[#This Row],[Order Date]]</f>
        <v>1</v>
      </c>
      <c r="N683">
        <f>WEEKNUM(orders[[#This Row],[Order Date]])</f>
        <v>5</v>
      </c>
      <c r="O683" t="str" cm="1">
        <f t="array" ref="O683">_xlfn.IFS(orders[[#This Row],[Customer Gender]] = "M", "Male",orders[[#This Row],[Customer Gender]] = "F", "Female",orders[[#This Row],[Customer Gender]] = "O", "Others",TRUE,"Unknown")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 - orders[[#This Row],[Order Date]]</f>
        <v>2</v>
      </c>
      <c r="N684">
        <f>WEEKNUM(orders[[#This Row],[Order Date]])</f>
        <v>5</v>
      </c>
      <c r="O684" t="str" cm="1">
        <f t="array" ref="O684">_xlfn.IFS(orders[[#This Row],[Customer Gender]] = "M", "Male",orders[[#This Row],[Customer Gender]] = "F", "Female",orders[[#This Row],[Customer Gender]] = "O", "Others",TRUE,"Unknown")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 - orders[[#This Row],[Order Date]]</f>
        <v>0</v>
      </c>
      <c r="N685">
        <f>WEEKNUM(orders[[#This Row],[Order Date]])</f>
        <v>5</v>
      </c>
      <c r="O685" t="str" cm="1">
        <f t="array" ref="O685">_xlfn.IFS(orders[[#This Row],[Customer Gender]] = "M", "Male",orders[[#This Row],[Customer Gender]] = "F", "Female",orders[[#This Row],[Customer Gender]] = "O", "Others",TRUE,"Unknown")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 - orders[[#This Row],[Order Date]]</f>
        <v>1</v>
      </c>
      <c r="N686">
        <f>WEEKNUM(orders[[#This Row],[Order Date]])</f>
        <v>5</v>
      </c>
      <c r="O686" t="str" cm="1">
        <f t="array" ref="O686">_xlfn.IFS(orders[[#This Row],[Customer Gender]] = "M", "Male",orders[[#This Row],[Customer Gender]] = "F", "Female",orders[[#This Row],[Customer Gender]] = "O", "Others",TRUE,"Unknown")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 - orders[[#This Row],[Order Date]]</f>
        <v>1</v>
      </c>
      <c r="N687">
        <f>WEEKNUM(orders[[#This Row],[Order Date]])</f>
        <v>5</v>
      </c>
      <c r="O687" t="str" cm="1">
        <f t="array" ref="O687">_xlfn.IFS(orders[[#This Row],[Customer Gender]] = "M", "Male",orders[[#This Row],[Customer Gender]] = "F", "Female",orders[[#This Row],[Customer Gender]] = "O", "Others",TRUE,"Unknown")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 - orders[[#This Row],[Order Date]]</f>
        <v>1</v>
      </c>
      <c r="N688">
        <f>WEEKNUM(orders[[#This Row],[Order Date]])</f>
        <v>5</v>
      </c>
      <c r="O688" t="str" cm="1">
        <f t="array" ref="O688">_xlfn.IFS(orders[[#This Row],[Customer Gender]] = "M", "Male",orders[[#This Row],[Customer Gender]] = "F", "Female",orders[[#This Row],[Customer Gender]] = "O", "Others",TRUE,"Unknown")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 - orders[[#This Row],[Order Date]]</f>
        <v>3</v>
      </c>
      <c r="N689">
        <f>WEEKNUM(orders[[#This Row],[Order Date]])</f>
        <v>5</v>
      </c>
      <c r="O689" t="str" cm="1">
        <f t="array" ref="O689">_xlfn.IFS(orders[[#This Row],[Customer Gender]] = "M", "Male",orders[[#This Row],[Customer Gender]] = "F", "Female",orders[[#This Row],[Customer Gender]] = "O", "Others",TRUE,"Unknown")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 - orders[[#This Row],[Order Date]]</f>
        <v>1</v>
      </c>
      <c r="N690">
        <f>WEEKNUM(orders[[#This Row],[Order Date]])</f>
        <v>5</v>
      </c>
      <c r="O690" t="str" cm="1">
        <f t="array" ref="O690">_xlfn.IFS(orders[[#This Row],[Customer Gender]] = "M", "Male",orders[[#This Row],[Customer Gender]] = "F", "Female",orders[[#This Row],[Customer Gender]] = "O", "Others",TRUE,"Unknown")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 - orders[[#This Row],[Order Date]]</f>
        <v>1</v>
      </c>
      <c r="N691">
        <f>WEEKNUM(orders[[#This Row],[Order Date]])</f>
        <v>5</v>
      </c>
      <c r="O691" t="str" cm="1">
        <f t="array" ref="O691">_xlfn.IFS(orders[[#This Row],[Customer Gender]] = "M", "Male",orders[[#This Row],[Customer Gender]] = "F", "Female",orders[[#This Row],[Customer Gender]] = "O", "Others",TRUE,"Unknown")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 - orders[[#This Row],[Order Date]]</f>
        <v>2</v>
      </c>
      <c r="N692">
        <f>WEEKNUM(orders[[#This Row],[Order Date]])</f>
        <v>5</v>
      </c>
      <c r="O692" t="str" cm="1">
        <f t="array" ref="O692">_xlfn.IFS(orders[[#This Row],[Customer Gender]] = "M", "Male",orders[[#This Row],[Customer Gender]] = "F", "Female",orders[[#This Row],[Customer Gender]] = "O", "Others",TRUE,"Unknown")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 - orders[[#This Row],[Order Date]]</f>
        <v>2</v>
      </c>
      <c r="N693">
        <f>WEEKNUM(orders[[#This Row],[Order Date]])</f>
        <v>5</v>
      </c>
      <c r="O693" t="str" cm="1">
        <f t="array" ref="O693">_xlfn.IFS(orders[[#This Row],[Customer Gender]] = "M", "Male",orders[[#This Row],[Customer Gender]] = "F", "Female",orders[[#This Row],[Customer Gender]] = "O", "Others",TRUE,"Unknown")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 - orders[[#This Row],[Order Date]]</f>
        <v>3</v>
      </c>
      <c r="N694">
        <f>WEEKNUM(orders[[#This Row],[Order Date]])</f>
        <v>5</v>
      </c>
      <c r="O694" t="str" cm="1">
        <f t="array" ref="O694">_xlfn.IFS(orders[[#This Row],[Customer Gender]] = "M", "Male",orders[[#This Row],[Customer Gender]] = "F", "Female",orders[[#This Row],[Customer Gender]] = "O", "Others",TRUE,"Unknown")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 - orders[[#This Row],[Order Date]]</f>
        <v>2</v>
      </c>
      <c r="N695">
        <f>WEEKNUM(orders[[#This Row],[Order Date]])</f>
        <v>5</v>
      </c>
      <c r="O695" t="str" cm="1">
        <f t="array" ref="O695">_xlfn.IFS(orders[[#This Row],[Customer Gender]] = "M", "Male",orders[[#This Row],[Customer Gender]] = "F", "Female",orders[[#This Row],[Customer Gender]] = "O", "Others",TRUE,"Unknown")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 - orders[[#This Row],[Order Date]]</f>
        <v>1</v>
      </c>
      <c r="N696">
        <f>WEEKNUM(orders[[#This Row],[Order Date]])</f>
        <v>5</v>
      </c>
      <c r="O696" t="str" cm="1">
        <f t="array" ref="O696">_xlfn.IFS(orders[[#This Row],[Customer Gender]] = "M", "Male",orders[[#This Row],[Customer Gender]] = "F", "Female",orders[[#This Row],[Customer Gender]] = "O", "Others",TRUE,"Unknown")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 - orders[[#This Row],[Order Date]]</f>
        <v>3</v>
      </c>
      <c r="N697">
        <f>WEEKNUM(orders[[#This Row],[Order Date]])</f>
        <v>5</v>
      </c>
      <c r="O697" t="str" cm="1">
        <f t="array" ref="O697">_xlfn.IFS(orders[[#This Row],[Customer Gender]] = "M", "Male",orders[[#This Row],[Customer Gender]] = "F", "Female",orders[[#This Row],[Customer Gender]] = "O", "Others",TRUE,"Unknown")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 - orders[[#This Row],[Order Date]]</f>
        <v>1</v>
      </c>
      <c r="N698">
        <f>WEEKNUM(orders[[#This Row],[Order Date]])</f>
        <v>5</v>
      </c>
      <c r="O698" t="str" cm="1">
        <f t="array" ref="O698">_xlfn.IFS(orders[[#This Row],[Customer Gender]] = "M", "Male",orders[[#This Row],[Customer Gender]] = "F", "Female",orders[[#This Row],[Customer Gender]] = "O", "Others",TRUE,"Unknown")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 - orders[[#This Row],[Order Date]]</f>
        <v>1</v>
      </c>
      <c r="N699">
        <f>WEEKNUM(orders[[#This Row],[Order Date]])</f>
        <v>5</v>
      </c>
      <c r="O699" t="str" cm="1">
        <f t="array" ref="O699">_xlfn.IFS(orders[[#This Row],[Customer Gender]] = "M", "Male",orders[[#This Row],[Customer Gender]] = "F", "Female",orders[[#This Row],[Customer Gender]] = "O", "Others",TRUE,"Unknown")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 - orders[[#This Row],[Order Date]]</f>
        <v>2</v>
      </c>
      <c r="N700">
        <f>WEEKNUM(orders[[#This Row],[Order Date]])</f>
        <v>5</v>
      </c>
      <c r="O700" t="str" cm="1">
        <f t="array" ref="O700">_xlfn.IFS(orders[[#This Row],[Customer Gender]] = "M", "Male",orders[[#This Row],[Customer Gender]] = "F", "Female",orders[[#This Row],[Customer Gender]] = "O", "Others",TRUE,"Unknown")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 - orders[[#This Row],[Order Date]]</f>
        <v>1</v>
      </c>
      <c r="N701">
        <f>WEEKNUM(orders[[#This Row],[Order Date]])</f>
        <v>5</v>
      </c>
      <c r="O701" t="str" cm="1">
        <f t="array" ref="O701">_xlfn.IFS(orders[[#This Row],[Customer Gender]] = "M", "Male",orders[[#This Row],[Customer Gender]] = "F", "Female",orders[[#This Row],[Customer Gender]] = "O", "Others",TRUE,"Unknown")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 - orders[[#This Row],[Order Date]]</f>
        <v>2</v>
      </c>
      <c r="N702">
        <f>WEEKNUM(orders[[#This Row],[Order Date]])</f>
        <v>5</v>
      </c>
      <c r="O702" t="str" cm="1">
        <f t="array" ref="O702">_xlfn.IFS(orders[[#This Row],[Customer Gender]] = "M", "Male",orders[[#This Row],[Customer Gender]] = "F", "Female",orders[[#This Row],[Customer Gender]] = "O", "Others",TRUE,"Unknown")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 - orders[[#This Row],[Order Date]]</f>
        <v>1</v>
      </c>
      <c r="N703">
        <f>WEEKNUM(orders[[#This Row],[Order Date]])</f>
        <v>5</v>
      </c>
      <c r="O703" t="str" cm="1">
        <f t="array" ref="O703">_xlfn.IFS(orders[[#This Row],[Customer Gender]] = "M", "Male",orders[[#This Row],[Customer Gender]] = "F", "Female",orders[[#This Row],[Customer Gender]] = "O", "Others",TRUE,"Unknown")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 - orders[[#This Row],[Order Date]]</f>
        <v>0</v>
      </c>
      <c r="N704">
        <f>WEEKNUM(orders[[#This Row],[Order Date]])</f>
        <v>5</v>
      </c>
      <c r="O704" t="str" cm="1">
        <f t="array" ref="O704">_xlfn.IFS(orders[[#This Row],[Customer Gender]] = "M", "Male",orders[[#This Row],[Customer Gender]] = "F", "Female",orders[[#This Row],[Customer Gender]] = "O", "Others",TRUE,"Unknown")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 - orders[[#This Row],[Order Date]]</f>
        <v>4</v>
      </c>
      <c r="N705">
        <f>WEEKNUM(orders[[#This Row],[Order Date]])</f>
        <v>5</v>
      </c>
      <c r="O705" t="str" cm="1">
        <f t="array" ref="O705">_xlfn.IFS(orders[[#This Row],[Customer Gender]] = "M", "Male",orders[[#This Row],[Customer Gender]] = "F", "Female",orders[[#This Row],[Customer Gender]] = "O", "Others",TRUE,"Unknown")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 - orders[[#This Row],[Order Date]]</f>
        <v>1</v>
      </c>
      <c r="N706">
        <f>WEEKNUM(orders[[#This Row],[Order Date]])</f>
        <v>5</v>
      </c>
      <c r="O706" t="str" cm="1">
        <f t="array" ref="O706">_xlfn.IFS(orders[[#This Row],[Customer Gender]] = "M", "Male",orders[[#This Row],[Customer Gender]] = "F", "Female",orders[[#This Row],[Customer Gender]] = "O", "Others",TRUE,"Unknown")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 - orders[[#This Row],[Order Date]]</f>
        <v>1</v>
      </c>
      <c r="N707">
        <f>WEEKNUM(orders[[#This Row],[Order Date]])</f>
        <v>5</v>
      </c>
      <c r="O707" t="str" cm="1">
        <f t="array" ref="O707">_xlfn.IFS(orders[[#This Row],[Customer Gender]] = "M", "Male",orders[[#This Row],[Customer Gender]] = "F", "Female",orders[[#This Row],[Customer Gender]] = "O", "Others",TRUE,"Unknown")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 - orders[[#This Row],[Order Date]]</f>
        <v>2</v>
      </c>
      <c r="N708">
        <f>WEEKNUM(orders[[#This Row],[Order Date]])</f>
        <v>5</v>
      </c>
      <c r="O708" t="str" cm="1">
        <f t="array" ref="O708">_xlfn.IFS(orders[[#This Row],[Customer Gender]] = "M", "Male",orders[[#This Row],[Customer Gender]] = "F", "Female",orders[[#This Row],[Customer Gender]] = "O", "Others",TRUE,"Unknown")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 - orders[[#This Row],[Order Date]]</f>
        <v>5</v>
      </c>
      <c r="N709">
        <f>WEEKNUM(orders[[#This Row],[Order Date]])</f>
        <v>5</v>
      </c>
      <c r="O709" t="str" cm="1">
        <f t="array" ref="O709">_xlfn.IFS(orders[[#This Row],[Customer Gender]] = "M", "Male",orders[[#This Row],[Customer Gender]] = "F", "Female",orders[[#This Row],[Customer Gender]] = "O", "Others",TRUE,"Unknown")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 - orders[[#This Row],[Order Date]]</f>
        <v>4</v>
      </c>
      <c r="N710">
        <f>WEEKNUM(orders[[#This Row],[Order Date]])</f>
        <v>5</v>
      </c>
      <c r="O710" t="str" cm="1">
        <f t="array" ref="O710">_xlfn.IFS(orders[[#This Row],[Customer Gender]] = "M", "Male",orders[[#This Row],[Customer Gender]] = "F", "Female",orders[[#This Row],[Customer Gender]] = "O", "Others",TRUE,"Unknown")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 - orders[[#This Row],[Order Date]]</f>
        <v>2</v>
      </c>
      <c r="N711">
        <f>WEEKNUM(orders[[#This Row],[Order Date]])</f>
        <v>5</v>
      </c>
      <c r="O711" t="str" cm="1">
        <f t="array" ref="O711">_xlfn.IFS(orders[[#This Row],[Customer Gender]] = "M", "Male",orders[[#This Row],[Customer Gender]] = "F", "Female",orders[[#This Row],[Customer Gender]] = "O", "Others",TRUE,"Unknown")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 - orders[[#This Row],[Order Date]]</f>
        <v>2</v>
      </c>
      <c r="N712">
        <f>WEEKNUM(orders[[#This Row],[Order Date]])</f>
        <v>5</v>
      </c>
      <c r="O712" t="str" cm="1">
        <f t="array" ref="O712">_xlfn.IFS(orders[[#This Row],[Customer Gender]] = "M", "Male",orders[[#This Row],[Customer Gender]] = "F", "Female",orders[[#This Row],[Customer Gender]] = "O", "Others",TRUE,"Unknown")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 - orders[[#This Row],[Order Date]]</f>
        <v>1</v>
      </c>
      <c r="N713">
        <f>WEEKNUM(orders[[#This Row],[Order Date]])</f>
        <v>5</v>
      </c>
      <c r="O713" t="str" cm="1">
        <f t="array" ref="O713">_xlfn.IFS(orders[[#This Row],[Customer Gender]] = "M", "Male",orders[[#This Row],[Customer Gender]] = "F", "Female",orders[[#This Row],[Customer Gender]] = "O", "Others",TRUE,"Unknown")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 - orders[[#This Row],[Order Date]]</f>
        <v>4</v>
      </c>
      <c r="N714">
        <f>WEEKNUM(orders[[#This Row],[Order Date]])</f>
        <v>5</v>
      </c>
      <c r="O714" t="str" cm="1">
        <f t="array" ref="O714">_xlfn.IFS(orders[[#This Row],[Customer Gender]] = "M", "Male",orders[[#This Row],[Customer Gender]] = "F", "Female",orders[[#This Row],[Customer Gender]] = "O", "Others",TRUE,"Unknown")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 - orders[[#This Row],[Order Date]]</f>
        <v>3</v>
      </c>
      <c r="N715">
        <f>WEEKNUM(orders[[#This Row],[Order Date]])</f>
        <v>5</v>
      </c>
      <c r="O715" t="str" cm="1">
        <f t="array" ref="O715">_xlfn.IFS(orders[[#This Row],[Customer Gender]] = "M", "Male",orders[[#This Row],[Customer Gender]] = "F", "Female",orders[[#This Row],[Customer Gender]] = "O", "Others",TRUE,"Unknown")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 - orders[[#This Row],[Order Date]]</f>
        <v>1</v>
      </c>
      <c r="N716">
        <f>WEEKNUM(orders[[#This Row],[Order Date]])</f>
        <v>5</v>
      </c>
      <c r="O716" t="str" cm="1">
        <f t="array" ref="O716">_xlfn.IFS(orders[[#This Row],[Customer Gender]] = "M", "Male",orders[[#This Row],[Customer Gender]] = "F", "Female",orders[[#This Row],[Customer Gender]] = "O", "Others",TRUE,"Unknown")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 - orders[[#This Row],[Order Date]]</f>
        <v>1</v>
      </c>
      <c r="N717">
        <f>WEEKNUM(orders[[#This Row],[Order Date]])</f>
        <v>5</v>
      </c>
      <c r="O717" t="str" cm="1">
        <f t="array" ref="O717">_xlfn.IFS(orders[[#This Row],[Customer Gender]] = "M", "Male",orders[[#This Row],[Customer Gender]] = "F", "Female",orders[[#This Row],[Customer Gender]] = "O", "Others",TRUE,"Unknown")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 - orders[[#This Row],[Order Date]]</f>
        <v>1</v>
      </c>
      <c r="N718">
        <f>WEEKNUM(orders[[#This Row],[Order Date]])</f>
        <v>5</v>
      </c>
      <c r="O718" t="str" cm="1">
        <f t="array" ref="O718">_xlfn.IFS(orders[[#This Row],[Customer Gender]] = "M", "Male",orders[[#This Row],[Customer Gender]] = "F", "Female",orders[[#This Row],[Customer Gender]] = "O", "Others",TRUE,"Unknown")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 - orders[[#This Row],[Order Date]]</f>
        <v>0</v>
      </c>
      <c r="N719">
        <f>WEEKNUM(orders[[#This Row],[Order Date]])</f>
        <v>5</v>
      </c>
      <c r="O719" t="str" cm="1">
        <f t="array" ref="O719">_xlfn.IFS(orders[[#This Row],[Customer Gender]] = "M", "Male",orders[[#This Row],[Customer Gender]] = "F", "Female",orders[[#This Row],[Customer Gender]] = "O", "Others",TRUE,"Unknown")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 - orders[[#This Row],[Order Date]]</f>
        <v>0</v>
      </c>
      <c r="N720">
        <f>WEEKNUM(orders[[#This Row],[Order Date]])</f>
        <v>5</v>
      </c>
      <c r="O720" t="str" cm="1">
        <f t="array" ref="O720">_xlfn.IFS(orders[[#This Row],[Customer Gender]] = "M", "Male",orders[[#This Row],[Customer Gender]] = "F", "Female",orders[[#This Row],[Customer Gender]] = "O", "Others",TRUE,"Unknown")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 - orders[[#This Row],[Order Date]]</f>
        <v>1</v>
      </c>
      <c r="N721">
        <f>WEEKNUM(orders[[#This Row],[Order Date]])</f>
        <v>5</v>
      </c>
      <c r="O721" t="str" cm="1">
        <f t="array" ref="O721">_xlfn.IFS(orders[[#This Row],[Customer Gender]] = "M", "Male",orders[[#This Row],[Customer Gender]] = "F", "Female",orders[[#This Row],[Customer Gender]] = "O", "Others",TRUE,"Unknown")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 - orders[[#This Row],[Order Date]]</f>
        <v>0</v>
      </c>
      <c r="N722">
        <f>WEEKNUM(orders[[#This Row],[Order Date]])</f>
        <v>5</v>
      </c>
      <c r="O722" t="str" cm="1">
        <f t="array" ref="O722">_xlfn.IFS(orders[[#This Row],[Customer Gender]] = "M", "Male",orders[[#This Row],[Customer Gender]] = "F", "Female",orders[[#This Row],[Customer Gender]] = "O", "Others",TRUE,"Unknown")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 - orders[[#This Row],[Order Date]]</f>
        <v>1</v>
      </c>
      <c r="N723">
        <f>WEEKNUM(orders[[#This Row],[Order Date]])</f>
        <v>5</v>
      </c>
      <c r="O723" t="str" cm="1">
        <f t="array" ref="O723">_xlfn.IFS(orders[[#This Row],[Customer Gender]] = "M", "Male",orders[[#This Row],[Customer Gender]] = "F", "Female",orders[[#This Row],[Customer Gender]] = "O", "Others",TRUE,"Unknown")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 - orders[[#This Row],[Order Date]]</f>
        <v>3</v>
      </c>
      <c r="N724">
        <f>WEEKNUM(orders[[#This Row],[Order Date]])</f>
        <v>5</v>
      </c>
      <c r="O724" t="str" cm="1">
        <f t="array" ref="O724">_xlfn.IFS(orders[[#This Row],[Customer Gender]] = "M", "Male",orders[[#This Row],[Customer Gender]] = "F", "Female",orders[[#This Row],[Customer Gender]] = "O", "Others",TRUE,"Unknown")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 - orders[[#This Row],[Order Date]]</f>
        <v>3</v>
      </c>
      <c r="N725">
        <f>WEEKNUM(orders[[#This Row],[Order Date]])</f>
        <v>5</v>
      </c>
      <c r="O725" t="str" cm="1">
        <f t="array" ref="O725">_xlfn.IFS(orders[[#This Row],[Customer Gender]] = "M", "Male",orders[[#This Row],[Customer Gender]] = "F", "Female",orders[[#This Row],[Customer Gender]] = "O", "Others",TRUE,"Unknown")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 - orders[[#This Row],[Order Date]]</f>
        <v>0</v>
      </c>
      <c r="N726">
        <f>WEEKNUM(orders[[#This Row],[Order Date]])</f>
        <v>5</v>
      </c>
      <c r="O726" t="str" cm="1">
        <f t="array" ref="O726">_xlfn.IFS(orders[[#This Row],[Customer Gender]] = "M", "Male",orders[[#This Row],[Customer Gender]] = "F", "Female",orders[[#This Row],[Customer Gender]] = "O", "Others",TRUE,"Unknown")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 - orders[[#This Row],[Order Date]]</f>
        <v>2</v>
      </c>
      <c r="N727">
        <f>WEEKNUM(orders[[#This Row],[Order Date]])</f>
        <v>5</v>
      </c>
      <c r="O727" t="str" cm="1">
        <f t="array" ref="O727">_xlfn.IFS(orders[[#This Row],[Customer Gender]] = "M", "Male",orders[[#This Row],[Customer Gender]] = "F", "Female",orders[[#This Row],[Customer Gender]] = "O", "Others",TRUE,"Unknown")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 - orders[[#This Row],[Order Date]]</f>
        <v>2</v>
      </c>
      <c r="N728">
        <f>WEEKNUM(orders[[#This Row],[Order Date]])</f>
        <v>5</v>
      </c>
      <c r="O728" t="str" cm="1">
        <f t="array" ref="O728">_xlfn.IFS(orders[[#This Row],[Customer Gender]] = "M", "Male",orders[[#This Row],[Customer Gender]] = "F", "Female",orders[[#This Row],[Customer Gender]] = "O", "Others",TRUE,"Unknown")</f>
        <v>Others</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 - orders[[#This Row],[Order Date]]</f>
        <v>2</v>
      </c>
      <c r="N729">
        <f>WEEKNUM(orders[[#This Row],[Order Date]])</f>
        <v>5</v>
      </c>
      <c r="O729" t="str" cm="1">
        <f t="array" ref="O729">_xlfn.IFS(orders[[#This Row],[Customer Gender]] = "M", "Male",orders[[#This Row],[Customer Gender]] = "F", "Female",orders[[#This Row],[Customer Gender]] = "O", "Others",TRUE,"Unknown")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 - orders[[#This Row],[Order Date]]</f>
        <v>1</v>
      </c>
      <c r="N730">
        <f>WEEKNUM(orders[[#This Row],[Order Date]])</f>
        <v>5</v>
      </c>
      <c r="O730" t="str" cm="1">
        <f t="array" ref="O730">_xlfn.IFS(orders[[#This Row],[Customer Gender]] = "M", "Male",orders[[#This Row],[Customer Gender]] = "F", "Female",orders[[#This Row],[Customer Gender]] = "O", "Others",TRUE,"Unknown")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 - orders[[#This Row],[Order Date]]</f>
        <v>2</v>
      </c>
      <c r="N731">
        <f>WEEKNUM(orders[[#This Row],[Order Date]])</f>
        <v>5</v>
      </c>
      <c r="O731" t="str" cm="1">
        <f t="array" ref="O731">_xlfn.IFS(orders[[#This Row],[Customer Gender]] = "M", "Male",orders[[#This Row],[Customer Gender]] = "F", "Female",orders[[#This Row],[Customer Gender]] = "O", "Others",TRUE,"Unknown")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 - orders[[#This Row],[Order Date]]</f>
        <v>3</v>
      </c>
      <c r="N732">
        <f>WEEKNUM(orders[[#This Row],[Order Date]])</f>
        <v>5</v>
      </c>
      <c r="O732" t="str" cm="1">
        <f t="array" ref="O732">_xlfn.IFS(orders[[#This Row],[Customer Gender]] = "M", "Male",orders[[#This Row],[Customer Gender]] = "F", "Female",orders[[#This Row],[Customer Gender]] = "O", "Others",TRUE,"Unknown")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 - orders[[#This Row],[Order Date]]</f>
        <v>1</v>
      </c>
      <c r="N733">
        <f>WEEKNUM(orders[[#This Row],[Order Date]])</f>
        <v>5</v>
      </c>
      <c r="O733" t="str" cm="1">
        <f t="array" ref="O733">_xlfn.IFS(orders[[#This Row],[Customer Gender]] = "M", "Male",orders[[#This Row],[Customer Gender]] = "F", "Female",orders[[#This Row],[Customer Gender]] = "O", "Others",TRUE,"Unknown")</f>
        <v>Others</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 - orders[[#This Row],[Order Date]]</f>
        <v>3</v>
      </c>
      <c r="N734">
        <f>WEEKNUM(orders[[#This Row],[Order Date]])</f>
        <v>5</v>
      </c>
      <c r="O734" t="str" cm="1">
        <f t="array" ref="O734">_xlfn.IFS(orders[[#This Row],[Customer Gender]] = "M", "Male",orders[[#This Row],[Customer Gender]] = "F", "Female",orders[[#This Row],[Customer Gender]] = "O", "Others",TRUE,"Unknown")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 - orders[[#This Row],[Order Date]]</f>
        <v>0</v>
      </c>
      <c r="N735">
        <f>WEEKNUM(orders[[#This Row],[Order Date]])</f>
        <v>5</v>
      </c>
      <c r="O735" t="str" cm="1">
        <f t="array" ref="O735">_xlfn.IFS(orders[[#This Row],[Customer Gender]] = "M", "Male",orders[[#This Row],[Customer Gender]] = "F", "Female",orders[[#This Row],[Customer Gender]] = "O", "Others",TRUE,"Unknown")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 - orders[[#This Row],[Order Date]]</f>
        <v>1</v>
      </c>
      <c r="N736">
        <f>WEEKNUM(orders[[#This Row],[Order Date]])</f>
        <v>5</v>
      </c>
      <c r="O736" t="str" cm="1">
        <f t="array" ref="O736">_xlfn.IFS(orders[[#This Row],[Customer Gender]] = "M", "Male",orders[[#This Row],[Customer Gender]] = "F", "Female",orders[[#This Row],[Customer Gender]] = "O", "Others",TRUE,"Unknown")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 - orders[[#This Row],[Order Date]]</f>
        <v>3</v>
      </c>
      <c r="N737">
        <f>WEEKNUM(orders[[#This Row],[Order Date]])</f>
        <v>5</v>
      </c>
      <c r="O737" t="str" cm="1">
        <f t="array" ref="O737">_xlfn.IFS(orders[[#This Row],[Customer Gender]] = "M", "Male",orders[[#This Row],[Customer Gender]] = "F", "Female",orders[[#This Row],[Customer Gender]] = "O", "Others",TRUE,"Unknown")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 - orders[[#This Row],[Order Date]]</f>
        <v>0</v>
      </c>
      <c r="N738">
        <f>WEEKNUM(orders[[#This Row],[Order Date]])</f>
        <v>5</v>
      </c>
      <c r="O738" t="str" cm="1">
        <f t="array" ref="O738">_xlfn.IFS(orders[[#This Row],[Customer Gender]] = "M", "Male",orders[[#This Row],[Customer Gender]] = "F", "Female",orders[[#This Row],[Customer Gender]] = "O", "Others",TRUE,"Unknown")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 - orders[[#This Row],[Order Date]]</f>
        <v>1</v>
      </c>
      <c r="N739">
        <f>WEEKNUM(orders[[#This Row],[Order Date]])</f>
        <v>5</v>
      </c>
      <c r="O739" t="str" cm="1">
        <f t="array" ref="O739">_xlfn.IFS(orders[[#This Row],[Customer Gender]] = "M", "Male",orders[[#This Row],[Customer Gender]] = "F", "Female",orders[[#This Row],[Customer Gender]] = "O", "Others",TRUE,"Unknown")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 - orders[[#This Row],[Order Date]]</f>
        <v>1</v>
      </c>
      <c r="N740">
        <f>WEEKNUM(orders[[#This Row],[Order Date]])</f>
        <v>5</v>
      </c>
      <c r="O740" t="str" cm="1">
        <f t="array" ref="O740">_xlfn.IFS(orders[[#This Row],[Customer Gender]] = "M", "Male",orders[[#This Row],[Customer Gender]] = "F", "Female",orders[[#This Row],[Customer Gender]] = "O", "Others",TRUE,"Unknown")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 - orders[[#This Row],[Order Date]]</f>
        <v>3</v>
      </c>
      <c r="N741">
        <f>WEEKNUM(orders[[#This Row],[Order Date]])</f>
        <v>5</v>
      </c>
      <c r="O741" t="str" cm="1">
        <f t="array" ref="O741">_xlfn.IFS(orders[[#This Row],[Customer Gender]] = "M", "Male",orders[[#This Row],[Customer Gender]] = "F", "Female",orders[[#This Row],[Customer Gender]] = "O", "Others",TRUE,"Unknown")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 - orders[[#This Row],[Order Date]]</f>
        <v>4</v>
      </c>
      <c r="N742">
        <f>WEEKNUM(orders[[#This Row],[Order Date]])</f>
        <v>5</v>
      </c>
      <c r="O742" t="str" cm="1">
        <f t="array" ref="O742">_xlfn.IFS(orders[[#This Row],[Customer Gender]] = "M", "Male",orders[[#This Row],[Customer Gender]] = "F", "Female",orders[[#This Row],[Customer Gender]] = "O", "Others",TRUE,"Unknown")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 - orders[[#This Row],[Order Date]]</f>
        <v>1</v>
      </c>
      <c r="N743">
        <f>WEEKNUM(orders[[#This Row],[Order Date]])</f>
        <v>5</v>
      </c>
      <c r="O743" t="str" cm="1">
        <f t="array" ref="O743">_xlfn.IFS(orders[[#This Row],[Customer Gender]] = "M", "Male",orders[[#This Row],[Customer Gender]] = "F", "Female",orders[[#This Row],[Customer Gender]] = "O", "Others",TRUE,"Unknown")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 - orders[[#This Row],[Order Date]]</f>
        <v>1</v>
      </c>
      <c r="N744">
        <f>WEEKNUM(orders[[#This Row],[Order Date]])</f>
        <v>5</v>
      </c>
      <c r="O744" t="str" cm="1">
        <f t="array" ref="O744">_xlfn.IFS(orders[[#This Row],[Customer Gender]] = "M", "Male",orders[[#This Row],[Customer Gender]] = "F", "Female",orders[[#This Row],[Customer Gender]] = "O", "Others",TRUE,"Unknown")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 - orders[[#This Row],[Order Date]]</f>
        <v>1</v>
      </c>
      <c r="N745">
        <f>WEEKNUM(orders[[#This Row],[Order Date]])</f>
        <v>5</v>
      </c>
      <c r="O745" t="str" cm="1">
        <f t="array" ref="O745">_xlfn.IFS(orders[[#This Row],[Customer Gender]] = "M", "Male",orders[[#This Row],[Customer Gender]] = "F", "Female",orders[[#This Row],[Customer Gender]] = "O", "Others",TRUE,"Unknown")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 - orders[[#This Row],[Order Date]]</f>
        <v>8</v>
      </c>
      <c r="N746">
        <f>WEEKNUM(orders[[#This Row],[Order Date]])</f>
        <v>6</v>
      </c>
      <c r="O746" t="str" cm="1">
        <f t="array" ref="O746">_xlfn.IFS(orders[[#This Row],[Customer Gender]] = "M", "Male",orders[[#This Row],[Customer Gender]] = "F", "Female",orders[[#This Row],[Customer Gender]] = "O", "Others",TRUE,"Unknown")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 - orders[[#This Row],[Order Date]]</f>
        <v>2</v>
      </c>
      <c r="N747">
        <f>WEEKNUM(orders[[#This Row],[Order Date]])</f>
        <v>6</v>
      </c>
      <c r="O747" t="str" cm="1">
        <f t="array" ref="O747">_xlfn.IFS(orders[[#This Row],[Customer Gender]] = "M", "Male",orders[[#This Row],[Customer Gender]] = "F", "Female",orders[[#This Row],[Customer Gender]] = "O", "Others",TRUE,"Unknown")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 - orders[[#This Row],[Order Date]]</f>
        <v>4</v>
      </c>
      <c r="N748">
        <f>WEEKNUM(orders[[#This Row],[Order Date]])</f>
        <v>6</v>
      </c>
      <c r="O748" t="str" cm="1">
        <f t="array" ref="O748">_xlfn.IFS(orders[[#This Row],[Customer Gender]] = "M", "Male",orders[[#This Row],[Customer Gender]] = "F", "Female",orders[[#This Row],[Customer Gender]] = "O", "Others",TRUE,"Unknown")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 - orders[[#This Row],[Order Date]]</f>
        <v>3</v>
      </c>
      <c r="N749">
        <f>WEEKNUM(orders[[#This Row],[Order Date]])</f>
        <v>6</v>
      </c>
      <c r="O749" t="str" cm="1">
        <f t="array" ref="O749">_xlfn.IFS(orders[[#This Row],[Customer Gender]] = "M", "Male",orders[[#This Row],[Customer Gender]] = "F", "Female",orders[[#This Row],[Customer Gender]] = "O", "Others",TRUE,"Unknown")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 - orders[[#This Row],[Order Date]]</f>
        <v>2</v>
      </c>
      <c r="N750">
        <f>WEEKNUM(orders[[#This Row],[Order Date]])</f>
        <v>6</v>
      </c>
      <c r="O750" t="str" cm="1">
        <f t="array" ref="O750">_xlfn.IFS(orders[[#This Row],[Customer Gender]] = "M", "Male",orders[[#This Row],[Customer Gender]] = "F", "Female",orders[[#This Row],[Customer Gender]] = "O", "Others",TRUE,"Unknown")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 - orders[[#This Row],[Order Date]]</f>
        <v>1</v>
      </c>
      <c r="N751">
        <f>WEEKNUM(orders[[#This Row],[Order Date]])</f>
        <v>6</v>
      </c>
      <c r="O751" t="str" cm="1">
        <f t="array" ref="O751">_xlfn.IFS(orders[[#This Row],[Customer Gender]] = "M", "Male",orders[[#This Row],[Customer Gender]] = "F", "Female",orders[[#This Row],[Customer Gender]] = "O", "Others",TRUE,"Unknown")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 - orders[[#This Row],[Order Date]]</f>
        <v>2</v>
      </c>
      <c r="N752">
        <f>WEEKNUM(orders[[#This Row],[Order Date]])</f>
        <v>6</v>
      </c>
      <c r="O752" t="str" cm="1">
        <f t="array" ref="O752">_xlfn.IFS(orders[[#This Row],[Customer Gender]] = "M", "Male",orders[[#This Row],[Customer Gender]] = "F", "Female",orders[[#This Row],[Customer Gender]] = "O", "Others",TRUE,"Unknown")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 - orders[[#This Row],[Order Date]]</f>
        <v>6</v>
      </c>
      <c r="N753">
        <f>WEEKNUM(orders[[#This Row],[Order Date]])</f>
        <v>6</v>
      </c>
      <c r="O753" t="str" cm="1">
        <f t="array" ref="O753">_xlfn.IFS(orders[[#This Row],[Customer Gender]] = "M", "Male",orders[[#This Row],[Customer Gender]] = "F", "Female",orders[[#This Row],[Customer Gender]] = "O", "Others",TRUE,"Unknown")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 - orders[[#This Row],[Order Date]]</f>
        <v>3</v>
      </c>
      <c r="N754">
        <f>WEEKNUM(orders[[#This Row],[Order Date]])</f>
        <v>6</v>
      </c>
      <c r="O754" t="str" cm="1">
        <f t="array" ref="O754">_xlfn.IFS(orders[[#This Row],[Customer Gender]] = "M", "Male",orders[[#This Row],[Customer Gender]] = "F", "Female",orders[[#This Row],[Customer Gender]] = "O", "Others",TRUE,"Unknown")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 - orders[[#This Row],[Order Date]]</f>
        <v>1</v>
      </c>
      <c r="N755">
        <f>WEEKNUM(orders[[#This Row],[Order Date]])</f>
        <v>6</v>
      </c>
      <c r="O755" t="str" cm="1">
        <f t="array" ref="O755">_xlfn.IFS(orders[[#This Row],[Customer Gender]] = "M", "Male",orders[[#This Row],[Customer Gender]] = "F", "Female",orders[[#This Row],[Customer Gender]] = "O", "Others",TRUE,"Unknown")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 - orders[[#This Row],[Order Date]]</f>
        <v>1</v>
      </c>
      <c r="N756">
        <f>WEEKNUM(orders[[#This Row],[Order Date]])</f>
        <v>6</v>
      </c>
      <c r="O756" t="str" cm="1">
        <f t="array" ref="O756">_xlfn.IFS(orders[[#This Row],[Customer Gender]] = "M", "Male",orders[[#This Row],[Customer Gender]] = "F", "Female",orders[[#This Row],[Customer Gender]] = "O", "Others",TRUE,"Unknown")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 - orders[[#This Row],[Order Date]]</f>
        <v>2</v>
      </c>
      <c r="N757">
        <f>WEEKNUM(orders[[#This Row],[Order Date]])</f>
        <v>6</v>
      </c>
      <c r="O757" t="str" cm="1">
        <f t="array" ref="O757">_xlfn.IFS(orders[[#This Row],[Customer Gender]] = "M", "Male",orders[[#This Row],[Customer Gender]] = "F", "Female",orders[[#This Row],[Customer Gender]] = "O", "Others",TRUE,"Unknown")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 - orders[[#This Row],[Order Date]]</f>
        <v>1</v>
      </c>
      <c r="N758">
        <f>WEEKNUM(orders[[#This Row],[Order Date]])</f>
        <v>6</v>
      </c>
      <c r="O758" t="str" cm="1">
        <f t="array" ref="O758">_xlfn.IFS(orders[[#This Row],[Customer Gender]] = "M", "Male",orders[[#This Row],[Customer Gender]] = "F", "Female",orders[[#This Row],[Customer Gender]] = "O", "Others",TRUE,"Unknown")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 - orders[[#This Row],[Order Date]]</f>
        <v>3</v>
      </c>
      <c r="N759">
        <f>WEEKNUM(orders[[#This Row],[Order Date]])</f>
        <v>6</v>
      </c>
      <c r="O759" t="str" cm="1">
        <f t="array" ref="O759">_xlfn.IFS(orders[[#This Row],[Customer Gender]] = "M", "Male",orders[[#This Row],[Customer Gender]] = "F", "Female",orders[[#This Row],[Customer Gender]] = "O", "Others",TRUE,"Unknown")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 - orders[[#This Row],[Order Date]]</f>
        <v>5</v>
      </c>
      <c r="N760">
        <f>WEEKNUM(orders[[#This Row],[Order Date]])</f>
        <v>6</v>
      </c>
      <c r="O760" t="str" cm="1">
        <f t="array" ref="O760">_xlfn.IFS(orders[[#This Row],[Customer Gender]] = "M", "Male",orders[[#This Row],[Customer Gender]] = "F", "Female",orders[[#This Row],[Customer Gender]] = "O", "Others",TRUE,"Unknown")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 - orders[[#This Row],[Order Date]]</f>
        <v>4</v>
      </c>
      <c r="N761">
        <f>WEEKNUM(orders[[#This Row],[Order Date]])</f>
        <v>6</v>
      </c>
      <c r="O761" t="str" cm="1">
        <f t="array" ref="O761">_xlfn.IFS(orders[[#This Row],[Customer Gender]] = "M", "Male",orders[[#This Row],[Customer Gender]] = "F", "Female",orders[[#This Row],[Customer Gender]] = "O", "Others",TRUE,"Unknown")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 - orders[[#This Row],[Order Date]]</f>
        <v>2</v>
      </c>
      <c r="N762">
        <f>WEEKNUM(orders[[#This Row],[Order Date]])</f>
        <v>6</v>
      </c>
      <c r="O762" t="str" cm="1">
        <f t="array" ref="O762">_xlfn.IFS(orders[[#This Row],[Customer Gender]] = "M", "Male",orders[[#This Row],[Customer Gender]] = "F", "Female",orders[[#This Row],[Customer Gender]] = "O", "Others",TRUE,"Unknown")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 - orders[[#This Row],[Order Date]]</f>
        <v>4</v>
      </c>
      <c r="N763">
        <f>WEEKNUM(orders[[#This Row],[Order Date]])</f>
        <v>6</v>
      </c>
      <c r="O763" t="str" cm="1">
        <f t="array" ref="O763">_xlfn.IFS(orders[[#This Row],[Customer Gender]] = "M", "Male",orders[[#This Row],[Customer Gender]] = "F", "Female",orders[[#This Row],[Customer Gender]] = "O", "Others",TRUE,"Unknown")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 - orders[[#This Row],[Order Date]]</f>
        <v>2</v>
      </c>
      <c r="N764">
        <f>WEEKNUM(orders[[#This Row],[Order Date]])</f>
        <v>6</v>
      </c>
      <c r="O764" t="str" cm="1">
        <f t="array" ref="O764">_xlfn.IFS(orders[[#This Row],[Customer Gender]] = "M", "Male",orders[[#This Row],[Customer Gender]] = "F", "Female",orders[[#This Row],[Customer Gender]] = "O", "Others",TRUE,"Unknown")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 - orders[[#This Row],[Order Date]]</f>
        <v>3</v>
      </c>
      <c r="N765">
        <f>WEEKNUM(orders[[#This Row],[Order Date]])</f>
        <v>6</v>
      </c>
      <c r="O765" t="str" cm="1">
        <f t="array" ref="O765">_xlfn.IFS(orders[[#This Row],[Customer Gender]] = "M", "Male",orders[[#This Row],[Customer Gender]] = "F", "Female",orders[[#This Row],[Customer Gender]] = "O", "Others",TRUE,"Unknown")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 - orders[[#This Row],[Order Date]]</f>
        <v>9</v>
      </c>
      <c r="N766">
        <f>WEEKNUM(orders[[#This Row],[Order Date]])</f>
        <v>6</v>
      </c>
      <c r="O766" t="str" cm="1">
        <f t="array" ref="O766">_xlfn.IFS(orders[[#This Row],[Customer Gender]] = "M", "Male",orders[[#This Row],[Customer Gender]] = "F", "Female",orders[[#This Row],[Customer Gender]] = "O", "Others",TRUE,"Unknown")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 - orders[[#This Row],[Order Date]]</f>
        <v>1</v>
      </c>
      <c r="N767">
        <f>WEEKNUM(orders[[#This Row],[Order Date]])</f>
        <v>6</v>
      </c>
      <c r="O767" t="str" cm="1">
        <f t="array" ref="O767">_xlfn.IFS(orders[[#This Row],[Customer Gender]] = "M", "Male",orders[[#This Row],[Customer Gender]] = "F", "Female",orders[[#This Row],[Customer Gender]] = "O", "Others",TRUE,"Unknown")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 - orders[[#This Row],[Order Date]]</f>
        <v>14</v>
      </c>
      <c r="N768">
        <f>WEEKNUM(orders[[#This Row],[Order Date]])</f>
        <v>6</v>
      </c>
      <c r="O768" t="str" cm="1">
        <f t="array" ref="O768">_xlfn.IFS(orders[[#This Row],[Customer Gender]] = "M", "Male",orders[[#This Row],[Customer Gender]] = "F", "Female",orders[[#This Row],[Customer Gender]] = "O", "Others",TRUE,"Unknown")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 - orders[[#This Row],[Order Date]]</f>
        <v>2</v>
      </c>
      <c r="N769">
        <f>WEEKNUM(orders[[#This Row],[Order Date]])</f>
        <v>6</v>
      </c>
      <c r="O769" t="str" cm="1">
        <f t="array" ref="O769">_xlfn.IFS(orders[[#This Row],[Customer Gender]] = "M", "Male",orders[[#This Row],[Customer Gender]] = "F", "Female",orders[[#This Row],[Customer Gender]] = "O", "Others",TRUE,"Unknown")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 - orders[[#This Row],[Order Date]]</f>
        <v>1</v>
      </c>
      <c r="N770">
        <f>WEEKNUM(orders[[#This Row],[Order Date]])</f>
        <v>6</v>
      </c>
      <c r="O770" t="str" cm="1">
        <f t="array" ref="O770">_xlfn.IFS(orders[[#This Row],[Customer Gender]] = "M", "Male",orders[[#This Row],[Customer Gender]] = "F", "Female",orders[[#This Row],[Customer Gender]] = "O", "Others",TRUE,"Unknown")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 - orders[[#This Row],[Order Date]]</f>
        <v>2</v>
      </c>
      <c r="N771">
        <f>WEEKNUM(orders[[#This Row],[Order Date]])</f>
        <v>6</v>
      </c>
      <c r="O771" t="str" cm="1">
        <f t="array" ref="O771">_xlfn.IFS(orders[[#This Row],[Customer Gender]] = "M", "Male",orders[[#This Row],[Customer Gender]] = "F", "Female",orders[[#This Row],[Customer Gender]] = "O", "Others",TRUE,"Unknown")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 - orders[[#This Row],[Order Date]]</f>
        <v>9</v>
      </c>
      <c r="N772">
        <f>WEEKNUM(orders[[#This Row],[Order Date]])</f>
        <v>6</v>
      </c>
      <c r="O772" t="str" cm="1">
        <f t="array" ref="O772">_xlfn.IFS(orders[[#This Row],[Customer Gender]] = "M", "Male",orders[[#This Row],[Customer Gender]] = "F", "Female",orders[[#This Row],[Customer Gender]] = "O", "Others",TRUE,"Unknown")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 - orders[[#This Row],[Order Date]]</f>
        <v>1</v>
      </c>
      <c r="N773">
        <f>WEEKNUM(orders[[#This Row],[Order Date]])</f>
        <v>6</v>
      </c>
      <c r="O773" t="str" cm="1">
        <f t="array" ref="O773">_xlfn.IFS(orders[[#This Row],[Customer Gender]] = "M", "Male",orders[[#This Row],[Customer Gender]] = "F", "Female",orders[[#This Row],[Customer Gender]] = "O", "Others",TRUE,"Unknown")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 - orders[[#This Row],[Order Date]]</f>
        <v>1</v>
      </c>
      <c r="N774">
        <f>WEEKNUM(orders[[#This Row],[Order Date]])</f>
        <v>6</v>
      </c>
      <c r="O774" t="str" cm="1">
        <f t="array" ref="O774">_xlfn.IFS(orders[[#This Row],[Customer Gender]] = "M", "Male",orders[[#This Row],[Customer Gender]] = "F", "Female",orders[[#This Row],[Customer Gender]] = "O", "Others",TRUE,"Unknown")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 - orders[[#This Row],[Order Date]]</f>
        <v>1</v>
      </c>
      <c r="N775">
        <f>WEEKNUM(orders[[#This Row],[Order Date]])</f>
        <v>6</v>
      </c>
      <c r="O775" t="str" cm="1">
        <f t="array" ref="O775">_xlfn.IFS(orders[[#This Row],[Customer Gender]] = "M", "Male",orders[[#This Row],[Customer Gender]] = "F", "Female",orders[[#This Row],[Customer Gender]] = "O", "Others",TRUE,"Unknown")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 - orders[[#This Row],[Order Date]]</f>
        <v>1</v>
      </c>
      <c r="N776">
        <f>WEEKNUM(orders[[#This Row],[Order Date]])</f>
        <v>6</v>
      </c>
      <c r="O776" t="str" cm="1">
        <f t="array" ref="O776">_xlfn.IFS(orders[[#This Row],[Customer Gender]] = "M", "Male",orders[[#This Row],[Customer Gender]] = "F", "Female",orders[[#This Row],[Customer Gender]] = "O", "Others",TRUE,"Unknown")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 - orders[[#This Row],[Order Date]]</f>
        <v>0</v>
      </c>
      <c r="N777">
        <f>WEEKNUM(orders[[#This Row],[Order Date]])</f>
        <v>6</v>
      </c>
      <c r="O777" t="str" cm="1">
        <f t="array" ref="O777">_xlfn.IFS(orders[[#This Row],[Customer Gender]] = "M", "Male",orders[[#This Row],[Customer Gender]] = "F", "Female",orders[[#This Row],[Customer Gender]] = "O", "Others",TRUE,"Unknown")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 - orders[[#This Row],[Order Date]]</f>
        <v>2</v>
      </c>
      <c r="N778">
        <f>WEEKNUM(orders[[#This Row],[Order Date]])</f>
        <v>6</v>
      </c>
      <c r="O778" t="str" cm="1">
        <f t="array" ref="O778">_xlfn.IFS(orders[[#This Row],[Customer Gender]] = "M", "Male",orders[[#This Row],[Customer Gender]] = "F", "Female",orders[[#This Row],[Customer Gender]] = "O", "Others",TRUE,"Unknown")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 - orders[[#This Row],[Order Date]]</f>
        <v>1</v>
      </c>
      <c r="N779">
        <f>WEEKNUM(orders[[#This Row],[Order Date]])</f>
        <v>6</v>
      </c>
      <c r="O779" t="str" cm="1">
        <f t="array" ref="O779">_xlfn.IFS(orders[[#This Row],[Customer Gender]] = "M", "Male",orders[[#This Row],[Customer Gender]] = "F", "Female",orders[[#This Row],[Customer Gender]] = "O", "Others",TRUE,"Unknown")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 - orders[[#This Row],[Order Date]]</f>
        <v>1</v>
      </c>
      <c r="N780">
        <f>WEEKNUM(orders[[#This Row],[Order Date]])</f>
        <v>6</v>
      </c>
      <c r="O780" t="str" cm="1">
        <f t="array" ref="O780">_xlfn.IFS(orders[[#This Row],[Customer Gender]] = "M", "Male",orders[[#This Row],[Customer Gender]] = "F", "Female",orders[[#This Row],[Customer Gender]] = "O", "Others",TRUE,"Unknown")</f>
        <v>Others</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 - orders[[#This Row],[Order Date]]</f>
        <v>4</v>
      </c>
      <c r="N781">
        <f>WEEKNUM(orders[[#This Row],[Order Date]])</f>
        <v>6</v>
      </c>
      <c r="O781" t="str" cm="1">
        <f t="array" ref="O781">_xlfn.IFS(orders[[#This Row],[Customer Gender]] = "M", "Male",orders[[#This Row],[Customer Gender]] = "F", "Female",orders[[#This Row],[Customer Gender]] = "O", "Others",TRUE,"Unknown")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 - orders[[#This Row],[Order Date]]</f>
        <v>3</v>
      </c>
      <c r="N782">
        <f>WEEKNUM(orders[[#This Row],[Order Date]])</f>
        <v>6</v>
      </c>
      <c r="O782" t="str" cm="1">
        <f t="array" ref="O782">_xlfn.IFS(orders[[#This Row],[Customer Gender]] = "M", "Male",orders[[#This Row],[Customer Gender]] = "F", "Female",orders[[#This Row],[Customer Gender]] = "O", "Others",TRUE,"Unknown")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 - orders[[#This Row],[Order Date]]</f>
        <v>0</v>
      </c>
      <c r="N783">
        <f>WEEKNUM(orders[[#This Row],[Order Date]])</f>
        <v>6</v>
      </c>
      <c r="O783" t="str" cm="1">
        <f t="array" ref="O783">_xlfn.IFS(orders[[#This Row],[Customer Gender]] = "M", "Male",orders[[#This Row],[Customer Gender]] = "F", "Female",orders[[#This Row],[Customer Gender]] = "O", "Others",TRUE,"Unknown")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 - orders[[#This Row],[Order Date]]</f>
        <v>1</v>
      </c>
      <c r="N784">
        <f>WEEKNUM(orders[[#This Row],[Order Date]])</f>
        <v>6</v>
      </c>
      <c r="O784" t="str" cm="1">
        <f t="array" ref="O784">_xlfn.IFS(orders[[#This Row],[Customer Gender]] = "M", "Male",orders[[#This Row],[Customer Gender]] = "F", "Female",orders[[#This Row],[Customer Gender]] = "O", "Others",TRUE,"Unknown")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 - orders[[#This Row],[Order Date]]</f>
        <v>2</v>
      </c>
      <c r="N785">
        <f>WEEKNUM(orders[[#This Row],[Order Date]])</f>
        <v>6</v>
      </c>
      <c r="O785" t="str" cm="1">
        <f t="array" ref="O785">_xlfn.IFS(orders[[#This Row],[Customer Gender]] = "M", "Male",orders[[#This Row],[Customer Gender]] = "F", "Female",orders[[#This Row],[Customer Gender]] = "O", "Others",TRUE,"Unknown")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 - orders[[#This Row],[Order Date]]</f>
        <v>1</v>
      </c>
      <c r="N786">
        <f>WEEKNUM(orders[[#This Row],[Order Date]])</f>
        <v>6</v>
      </c>
      <c r="O786" t="str" cm="1">
        <f t="array" ref="O786">_xlfn.IFS(orders[[#This Row],[Customer Gender]] = "M", "Male",orders[[#This Row],[Customer Gender]] = "F", "Female",orders[[#This Row],[Customer Gender]] = "O", "Others",TRUE,"Unknown")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 - orders[[#This Row],[Order Date]]</f>
        <v>2</v>
      </c>
      <c r="N787">
        <f>WEEKNUM(orders[[#This Row],[Order Date]])</f>
        <v>6</v>
      </c>
      <c r="O787" t="str" cm="1">
        <f t="array" ref="O787">_xlfn.IFS(orders[[#This Row],[Customer Gender]] = "M", "Male",orders[[#This Row],[Customer Gender]] = "F", "Female",orders[[#This Row],[Customer Gender]] = "O", "Others",TRUE,"Unknown")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 - orders[[#This Row],[Order Date]]</f>
        <v>1</v>
      </c>
      <c r="N788">
        <f>WEEKNUM(orders[[#This Row],[Order Date]])</f>
        <v>6</v>
      </c>
      <c r="O788" t="str" cm="1">
        <f t="array" ref="O788">_xlfn.IFS(orders[[#This Row],[Customer Gender]] = "M", "Male",orders[[#This Row],[Customer Gender]] = "F", "Female",orders[[#This Row],[Customer Gender]] = "O", "Others",TRUE,"Unknown")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 - orders[[#This Row],[Order Date]]</f>
        <v>2</v>
      </c>
      <c r="N789">
        <f>WEEKNUM(orders[[#This Row],[Order Date]])</f>
        <v>6</v>
      </c>
      <c r="O789" t="str" cm="1">
        <f t="array" ref="O789">_xlfn.IFS(orders[[#This Row],[Customer Gender]] = "M", "Male",orders[[#This Row],[Customer Gender]] = "F", "Female",orders[[#This Row],[Customer Gender]] = "O", "Others",TRUE,"Unknown")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 - orders[[#This Row],[Order Date]]</f>
        <v>1</v>
      </c>
      <c r="N790">
        <f>WEEKNUM(orders[[#This Row],[Order Date]])</f>
        <v>6</v>
      </c>
      <c r="O790" t="str" cm="1">
        <f t="array" ref="O790">_xlfn.IFS(orders[[#This Row],[Customer Gender]] = "M", "Male",orders[[#This Row],[Customer Gender]] = "F", "Female",orders[[#This Row],[Customer Gender]] = "O", "Others",TRUE,"Unknown")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 - orders[[#This Row],[Order Date]]</f>
        <v>2</v>
      </c>
      <c r="N791">
        <f>WEEKNUM(orders[[#This Row],[Order Date]])</f>
        <v>6</v>
      </c>
      <c r="O791" t="str" cm="1">
        <f t="array" ref="O791">_xlfn.IFS(orders[[#This Row],[Customer Gender]] = "M", "Male",orders[[#This Row],[Customer Gender]] = "F", "Female",orders[[#This Row],[Customer Gender]] = "O", "Others",TRUE,"Unknown")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 - orders[[#This Row],[Order Date]]</f>
        <v>1</v>
      </c>
      <c r="N792">
        <f>WEEKNUM(orders[[#This Row],[Order Date]])</f>
        <v>6</v>
      </c>
      <c r="O792" t="str" cm="1">
        <f t="array" ref="O792">_xlfn.IFS(orders[[#This Row],[Customer Gender]] = "M", "Male",orders[[#This Row],[Customer Gender]] = "F", "Female",orders[[#This Row],[Customer Gender]] = "O", "Others",TRUE,"Unknown")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 - orders[[#This Row],[Order Date]]</f>
        <v>4</v>
      </c>
      <c r="N793">
        <f>WEEKNUM(orders[[#This Row],[Order Date]])</f>
        <v>6</v>
      </c>
      <c r="O793" t="str" cm="1">
        <f t="array" ref="O793">_xlfn.IFS(orders[[#This Row],[Customer Gender]] = "M", "Male",orders[[#This Row],[Customer Gender]] = "F", "Female",orders[[#This Row],[Customer Gender]] = "O", "Others",TRUE,"Unknown")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 - orders[[#This Row],[Order Date]]</f>
        <v>1</v>
      </c>
      <c r="N794">
        <f>WEEKNUM(orders[[#This Row],[Order Date]])</f>
        <v>6</v>
      </c>
      <c r="O794" t="str" cm="1">
        <f t="array" ref="O794">_xlfn.IFS(orders[[#This Row],[Customer Gender]] = "M", "Male",orders[[#This Row],[Customer Gender]] = "F", "Female",orders[[#This Row],[Customer Gender]] = "O", "Others",TRUE,"Unknown")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 - orders[[#This Row],[Order Date]]</f>
        <v>1</v>
      </c>
      <c r="N795">
        <f>WEEKNUM(orders[[#This Row],[Order Date]])</f>
        <v>6</v>
      </c>
      <c r="O795" t="str" cm="1">
        <f t="array" ref="O795">_xlfn.IFS(orders[[#This Row],[Customer Gender]] = "M", "Male",orders[[#This Row],[Customer Gender]] = "F", "Female",orders[[#This Row],[Customer Gender]] = "O", "Others",TRUE,"Unknown")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 - orders[[#This Row],[Order Date]]</f>
        <v>3</v>
      </c>
      <c r="N796">
        <f>WEEKNUM(orders[[#This Row],[Order Date]])</f>
        <v>6</v>
      </c>
      <c r="O796" t="str" cm="1">
        <f t="array" ref="O796">_xlfn.IFS(orders[[#This Row],[Customer Gender]] = "M", "Male",orders[[#This Row],[Customer Gender]] = "F", "Female",orders[[#This Row],[Customer Gender]] = "O", "Others",TRUE,"Unknown")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 - orders[[#This Row],[Order Date]]</f>
        <v>1</v>
      </c>
      <c r="N797">
        <f>WEEKNUM(orders[[#This Row],[Order Date]])</f>
        <v>6</v>
      </c>
      <c r="O797" t="str" cm="1">
        <f t="array" ref="O797">_xlfn.IFS(orders[[#This Row],[Customer Gender]] = "M", "Male",orders[[#This Row],[Customer Gender]] = "F", "Female",orders[[#This Row],[Customer Gender]] = "O", "Others",TRUE,"Unknown")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 - orders[[#This Row],[Order Date]]</f>
        <v>7</v>
      </c>
      <c r="N798">
        <f>WEEKNUM(orders[[#This Row],[Order Date]])</f>
        <v>6</v>
      </c>
      <c r="O798" t="str" cm="1">
        <f t="array" ref="O798">_xlfn.IFS(orders[[#This Row],[Customer Gender]] = "M", "Male",orders[[#This Row],[Customer Gender]] = "F", "Female",orders[[#This Row],[Customer Gender]] = "O", "Others",TRUE,"Unknown")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 - orders[[#This Row],[Order Date]]</f>
        <v>1</v>
      </c>
      <c r="N799">
        <f>WEEKNUM(orders[[#This Row],[Order Date]])</f>
        <v>6</v>
      </c>
      <c r="O799" t="str" cm="1">
        <f t="array" ref="O799">_xlfn.IFS(orders[[#This Row],[Customer Gender]] = "M", "Male",orders[[#This Row],[Customer Gender]] = "F", "Female",orders[[#This Row],[Customer Gender]] = "O", "Others",TRUE,"Unknown")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 - orders[[#This Row],[Order Date]]</f>
        <v>4</v>
      </c>
      <c r="N800">
        <f>WEEKNUM(orders[[#This Row],[Order Date]])</f>
        <v>6</v>
      </c>
      <c r="O800" t="str" cm="1">
        <f t="array" ref="O800">_xlfn.IFS(orders[[#This Row],[Customer Gender]] = "M", "Male",orders[[#This Row],[Customer Gender]] = "F", "Female",orders[[#This Row],[Customer Gender]] = "O", "Others",TRUE,"Unknown")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 - orders[[#This Row],[Order Date]]</f>
        <v>1</v>
      </c>
      <c r="N801">
        <f>WEEKNUM(orders[[#This Row],[Order Date]])</f>
        <v>6</v>
      </c>
      <c r="O801" t="str" cm="1">
        <f t="array" ref="O801">_xlfn.IFS(orders[[#This Row],[Customer Gender]] = "M", "Male",orders[[#This Row],[Customer Gender]] = "F", "Female",orders[[#This Row],[Customer Gender]] = "O", "Others",TRUE,"Unknown")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 - orders[[#This Row],[Order Date]]</f>
        <v>3</v>
      </c>
      <c r="N802">
        <f>WEEKNUM(orders[[#This Row],[Order Date]])</f>
        <v>6</v>
      </c>
      <c r="O802" t="str" cm="1">
        <f t="array" ref="O802">_xlfn.IFS(orders[[#This Row],[Customer Gender]] = "M", "Male",orders[[#This Row],[Customer Gender]] = "F", "Female",orders[[#This Row],[Customer Gender]] = "O", "Others",TRUE,"Unknown")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 - orders[[#This Row],[Order Date]]</f>
        <v>3</v>
      </c>
      <c r="N803">
        <f>WEEKNUM(orders[[#This Row],[Order Date]])</f>
        <v>6</v>
      </c>
      <c r="O803" t="str" cm="1">
        <f t="array" ref="O803">_xlfn.IFS(orders[[#This Row],[Customer Gender]] = "M", "Male",orders[[#This Row],[Customer Gender]] = "F", "Female",orders[[#This Row],[Customer Gender]] = "O", "Others",TRUE,"Unknown")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 - orders[[#This Row],[Order Date]]</f>
        <v>2</v>
      </c>
      <c r="N804">
        <f>WEEKNUM(orders[[#This Row],[Order Date]])</f>
        <v>6</v>
      </c>
      <c r="O804" t="str" cm="1">
        <f t="array" ref="O804">_xlfn.IFS(orders[[#This Row],[Customer Gender]] = "M", "Male",orders[[#This Row],[Customer Gender]] = "F", "Female",orders[[#This Row],[Customer Gender]] = "O", "Others",TRUE,"Unknown")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 - orders[[#This Row],[Order Date]]</f>
        <v>1</v>
      </c>
      <c r="N805">
        <f>WEEKNUM(orders[[#This Row],[Order Date]])</f>
        <v>6</v>
      </c>
      <c r="O805" t="str" cm="1">
        <f t="array" ref="O805">_xlfn.IFS(orders[[#This Row],[Customer Gender]] = "M", "Male",orders[[#This Row],[Customer Gender]] = "F", "Female",orders[[#This Row],[Customer Gender]] = "O", "Others",TRUE,"Unknown")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 - orders[[#This Row],[Order Date]]</f>
        <v>2</v>
      </c>
      <c r="N806">
        <f>WEEKNUM(orders[[#This Row],[Order Date]])</f>
        <v>6</v>
      </c>
      <c r="O806" t="str" cm="1">
        <f t="array" ref="O806">_xlfn.IFS(orders[[#This Row],[Customer Gender]] = "M", "Male",orders[[#This Row],[Customer Gender]] = "F", "Female",orders[[#This Row],[Customer Gender]] = "O", "Others",TRUE,"Unknown")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 - orders[[#This Row],[Order Date]]</f>
        <v>2</v>
      </c>
      <c r="N807">
        <f>WEEKNUM(orders[[#This Row],[Order Date]])</f>
        <v>6</v>
      </c>
      <c r="O807" t="str" cm="1">
        <f t="array" ref="O807">_xlfn.IFS(orders[[#This Row],[Customer Gender]] = "M", "Male",orders[[#This Row],[Customer Gender]] = "F", "Female",orders[[#This Row],[Customer Gender]] = "O", "Others",TRUE,"Unknown")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 - orders[[#This Row],[Order Date]]</f>
        <v>5</v>
      </c>
      <c r="N808">
        <f>WEEKNUM(orders[[#This Row],[Order Date]])</f>
        <v>6</v>
      </c>
      <c r="O808" t="str" cm="1">
        <f t="array" ref="O808">_xlfn.IFS(orders[[#This Row],[Customer Gender]] = "M", "Male",orders[[#This Row],[Customer Gender]] = "F", "Female",orders[[#This Row],[Customer Gender]] = "O", "Others",TRUE,"Unknown")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 - orders[[#This Row],[Order Date]]</f>
        <v>2</v>
      </c>
      <c r="N809">
        <f>WEEKNUM(orders[[#This Row],[Order Date]])</f>
        <v>6</v>
      </c>
      <c r="O809" t="str" cm="1">
        <f t="array" ref="O809">_xlfn.IFS(orders[[#This Row],[Customer Gender]] = "M", "Male",orders[[#This Row],[Customer Gender]] = "F", "Female",orders[[#This Row],[Customer Gender]] = "O", "Others",TRUE,"Unknown")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 - orders[[#This Row],[Order Date]]</f>
        <v>2</v>
      </c>
      <c r="N810">
        <f>WEEKNUM(orders[[#This Row],[Order Date]])</f>
        <v>6</v>
      </c>
      <c r="O810" t="str" cm="1">
        <f t="array" ref="O810">_xlfn.IFS(orders[[#This Row],[Customer Gender]] = "M", "Male",orders[[#This Row],[Customer Gender]] = "F", "Female",orders[[#This Row],[Customer Gender]] = "O", "Others",TRUE,"Unknown")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 - orders[[#This Row],[Order Date]]</f>
        <v>1</v>
      </c>
      <c r="N811">
        <f>WEEKNUM(orders[[#This Row],[Order Date]])</f>
        <v>6</v>
      </c>
      <c r="O811" t="str" cm="1">
        <f t="array" ref="O811">_xlfn.IFS(orders[[#This Row],[Customer Gender]] = "M", "Male",orders[[#This Row],[Customer Gender]] = "F", "Female",orders[[#This Row],[Customer Gender]] = "O", "Others",TRUE,"Unknown")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 - orders[[#This Row],[Order Date]]</f>
        <v>1</v>
      </c>
      <c r="N812">
        <f>WEEKNUM(orders[[#This Row],[Order Date]])</f>
        <v>6</v>
      </c>
      <c r="O812" t="str" cm="1">
        <f t="array" ref="O812">_xlfn.IFS(orders[[#This Row],[Customer Gender]] = "M", "Male",orders[[#This Row],[Customer Gender]] = "F", "Female",orders[[#This Row],[Customer Gender]] = "O", "Others",TRUE,"Unknown")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 - orders[[#This Row],[Order Date]]</f>
        <v>2</v>
      </c>
      <c r="N813">
        <f>WEEKNUM(orders[[#This Row],[Order Date]])</f>
        <v>6</v>
      </c>
      <c r="O813" t="str" cm="1">
        <f t="array" ref="O813">_xlfn.IFS(orders[[#This Row],[Customer Gender]] = "M", "Male",orders[[#This Row],[Customer Gender]] = "F", "Female",orders[[#This Row],[Customer Gender]] = "O", "Others",TRUE,"Unknown")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 - orders[[#This Row],[Order Date]]</f>
        <v>2</v>
      </c>
      <c r="N814">
        <f>WEEKNUM(orders[[#This Row],[Order Date]])</f>
        <v>6</v>
      </c>
      <c r="O814" t="str" cm="1">
        <f t="array" ref="O814">_xlfn.IFS(orders[[#This Row],[Customer Gender]] = "M", "Male",orders[[#This Row],[Customer Gender]] = "F", "Female",orders[[#This Row],[Customer Gender]] = "O", "Others",TRUE,"Unknown")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 - orders[[#This Row],[Order Date]]</f>
        <v>1</v>
      </c>
      <c r="N815">
        <f>WEEKNUM(orders[[#This Row],[Order Date]])</f>
        <v>6</v>
      </c>
      <c r="O815" t="str" cm="1">
        <f t="array" ref="O815">_xlfn.IFS(orders[[#This Row],[Customer Gender]] = "M", "Male",orders[[#This Row],[Customer Gender]] = "F", "Female",orders[[#This Row],[Customer Gender]] = "O", "Others",TRUE,"Unknown")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 - orders[[#This Row],[Order Date]]</f>
        <v>4</v>
      </c>
      <c r="N816">
        <f>WEEKNUM(orders[[#This Row],[Order Date]])</f>
        <v>6</v>
      </c>
      <c r="O816" t="str" cm="1">
        <f t="array" ref="O816">_xlfn.IFS(orders[[#This Row],[Customer Gender]] = "M", "Male",orders[[#This Row],[Customer Gender]] = "F", "Female",orders[[#This Row],[Customer Gender]] = "O", "Others",TRUE,"Unknown")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 - orders[[#This Row],[Order Date]]</f>
        <v>1</v>
      </c>
      <c r="N817">
        <f>WEEKNUM(orders[[#This Row],[Order Date]])</f>
        <v>6</v>
      </c>
      <c r="O817" t="str" cm="1">
        <f t="array" ref="O817">_xlfn.IFS(orders[[#This Row],[Customer Gender]] = "M", "Male",orders[[#This Row],[Customer Gender]] = "F", "Female",orders[[#This Row],[Customer Gender]] = "O", "Others",TRUE,"Unknown")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 - orders[[#This Row],[Order Date]]</f>
        <v>4</v>
      </c>
      <c r="N818">
        <f>WEEKNUM(orders[[#This Row],[Order Date]])</f>
        <v>6</v>
      </c>
      <c r="O818" t="str" cm="1">
        <f t="array" ref="O818">_xlfn.IFS(orders[[#This Row],[Customer Gender]] = "M", "Male",orders[[#This Row],[Customer Gender]] = "F", "Female",orders[[#This Row],[Customer Gender]] = "O", "Others",TRUE,"Unknown")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 - orders[[#This Row],[Order Date]]</f>
        <v>4</v>
      </c>
      <c r="N819">
        <f>WEEKNUM(orders[[#This Row],[Order Date]])</f>
        <v>6</v>
      </c>
      <c r="O819" t="str" cm="1">
        <f t="array" ref="O819">_xlfn.IFS(orders[[#This Row],[Customer Gender]] = "M", "Male",orders[[#This Row],[Customer Gender]] = "F", "Female",orders[[#This Row],[Customer Gender]] = "O", "Others",TRUE,"Unknown")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 - orders[[#This Row],[Order Date]]</f>
        <v>1</v>
      </c>
      <c r="N820">
        <f>WEEKNUM(orders[[#This Row],[Order Date]])</f>
        <v>6</v>
      </c>
      <c r="O820" t="str" cm="1">
        <f t="array" ref="O820">_xlfn.IFS(orders[[#This Row],[Customer Gender]] = "M", "Male",orders[[#This Row],[Customer Gender]] = "F", "Female",orders[[#This Row],[Customer Gender]] = "O", "Others",TRUE,"Unknown")</f>
        <v>Others</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 - orders[[#This Row],[Order Date]]</f>
        <v>1</v>
      </c>
      <c r="N821">
        <f>WEEKNUM(orders[[#This Row],[Order Date]])</f>
        <v>6</v>
      </c>
      <c r="O821" t="str" cm="1">
        <f t="array" ref="O821">_xlfn.IFS(orders[[#This Row],[Customer Gender]] = "M", "Male",orders[[#This Row],[Customer Gender]] = "F", "Female",orders[[#This Row],[Customer Gender]] = "O", "Others",TRUE,"Unknown")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 - orders[[#This Row],[Order Date]]</f>
        <v>6</v>
      </c>
      <c r="N822">
        <f>WEEKNUM(orders[[#This Row],[Order Date]])</f>
        <v>6</v>
      </c>
      <c r="O822" t="str" cm="1">
        <f t="array" ref="O822">_xlfn.IFS(orders[[#This Row],[Customer Gender]] = "M", "Male",orders[[#This Row],[Customer Gender]] = "F", "Female",orders[[#This Row],[Customer Gender]] = "O", "Others",TRUE,"Unknown")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 - orders[[#This Row],[Order Date]]</f>
        <v>3</v>
      </c>
      <c r="N823">
        <f>WEEKNUM(orders[[#This Row],[Order Date]])</f>
        <v>6</v>
      </c>
      <c r="O823" t="str" cm="1">
        <f t="array" ref="O823">_xlfn.IFS(orders[[#This Row],[Customer Gender]] = "M", "Male",orders[[#This Row],[Customer Gender]] = "F", "Female",orders[[#This Row],[Customer Gender]] = "O", "Others",TRUE,"Unknown")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 - orders[[#This Row],[Order Date]]</f>
        <v>2</v>
      </c>
      <c r="N824">
        <f>WEEKNUM(orders[[#This Row],[Order Date]])</f>
        <v>6</v>
      </c>
      <c r="O824" t="str" cm="1">
        <f t="array" ref="O824">_xlfn.IFS(orders[[#This Row],[Customer Gender]] = "M", "Male",orders[[#This Row],[Customer Gender]] = "F", "Female",orders[[#This Row],[Customer Gender]] = "O", "Others",TRUE,"Unknown")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 - orders[[#This Row],[Order Date]]</f>
        <v>1</v>
      </c>
      <c r="N825">
        <f>WEEKNUM(orders[[#This Row],[Order Date]])</f>
        <v>6</v>
      </c>
      <c r="O825" t="str" cm="1">
        <f t="array" ref="O825">_xlfn.IFS(orders[[#This Row],[Customer Gender]] = "M", "Male",orders[[#This Row],[Customer Gender]] = "F", "Female",orders[[#This Row],[Customer Gender]] = "O", "Others",TRUE,"Unknown")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 - orders[[#This Row],[Order Date]]</f>
        <v>1</v>
      </c>
      <c r="N826">
        <f>WEEKNUM(orders[[#This Row],[Order Date]])</f>
        <v>6</v>
      </c>
      <c r="O826" t="str" cm="1">
        <f t="array" ref="O826">_xlfn.IFS(orders[[#This Row],[Customer Gender]] = "M", "Male",orders[[#This Row],[Customer Gender]] = "F", "Female",orders[[#This Row],[Customer Gender]] = "O", "Others",TRUE,"Unknown")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 - orders[[#This Row],[Order Date]]</f>
        <v>4</v>
      </c>
      <c r="N827">
        <f>WEEKNUM(orders[[#This Row],[Order Date]])</f>
        <v>6</v>
      </c>
      <c r="O827" t="str" cm="1">
        <f t="array" ref="O827">_xlfn.IFS(orders[[#This Row],[Customer Gender]] = "M", "Male",orders[[#This Row],[Customer Gender]] = "F", "Female",orders[[#This Row],[Customer Gender]] = "O", "Others",TRUE,"Unknown")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 - orders[[#This Row],[Order Date]]</f>
        <v>4</v>
      </c>
      <c r="N828">
        <f>WEEKNUM(orders[[#This Row],[Order Date]])</f>
        <v>6</v>
      </c>
      <c r="O828" t="str" cm="1">
        <f t="array" ref="O828">_xlfn.IFS(orders[[#This Row],[Customer Gender]] = "M", "Male",orders[[#This Row],[Customer Gender]] = "F", "Female",orders[[#This Row],[Customer Gender]] = "O", "Others",TRUE,"Unknown")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 - orders[[#This Row],[Order Date]]</f>
        <v>4</v>
      </c>
      <c r="N829">
        <f>WEEKNUM(orders[[#This Row],[Order Date]])</f>
        <v>6</v>
      </c>
      <c r="O829" t="str" cm="1">
        <f t="array" ref="O829">_xlfn.IFS(orders[[#This Row],[Customer Gender]] = "M", "Male",orders[[#This Row],[Customer Gender]] = "F", "Female",orders[[#This Row],[Customer Gender]] = "O", "Others",TRUE,"Unknown")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 - orders[[#This Row],[Order Date]]</f>
        <v>1</v>
      </c>
      <c r="N830">
        <f>WEEKNUM(orders[[#This Row],[Order Date]])</f>
        <v>6</v>
      </c>
      <c r="O830" t="str" cm="1">
        <f t="array" ref="O830">_xlfn.IFS(orders[[#This Row],[Customer Gender]] = "M", "Male",orders[[#This Row],[Customer Gender]] = "F", "Female",orders[[#This Row],[Customer Gender]] = "O", "Others",TRUE,"Unknown")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 - orders[[#This Row],[Order Date]]</f>
        <v>3</v>
      </c>
      <c r="N831">
        <f>WEEKNUM(orders[[#This Row],[Order Date]])</f>
        <v>6</v>
      </c>
      <c r="O831" t="str" cm="1">
        <f t="array" ref="O831">_xlfn.IFS(orders[[#This Row],[Customer Gender]] = "M", "Male",orders[[#This Row],[Customer Gender]] = "F", "Female",orders[[#This Row],[Customer Gender]] = "O", "Others",TRUE,"Unknown")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 - orders[[#This Row],[Order Date]]</f>
        <v>2</v>
      </c>
      <c r="N832">
        <f>WEEKNUM(orders[[#This Row],[Order Date]])</f>
        <v>6</v>
      </c>
      <c r="O832" t="str" cm="1">
        <f t="array" ref="O832">_xlfn.IFS(orders[[#This Row],[Customer Gender]] = "M", "Male",orders[[#This Row],[Customer Gender]] = "F", "Female",orders[[#This Row],[Customer Gender]] = "O", "Others",TRUE,"Unknown")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 - orders[[#This Row],[Order Date]]</f>
        <v>1</v>
      </c>
      <c r="N833">
        <f>WEEKNUM(orders[[#This Row],[Order Date]])</f>
        <v>6</v>
      </c>
      <c r="O833" t="str" cm="1">
        <f t="array" ref="O833">_xlfn.IFS(orders[[#This Row],[Customer Gender]] = "M", "Male",orders[[#This Row],[Customer Gender]] = "F", "Female",orders[[#This Row],[Customer Gender]] = "O", "Others",TRUE,"Unknown")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 - orders[[#This Row],[Order Date]]</f>
        <v>1</v>
      </c>
      <c r="N834">
        <f>WEEKNUM(orders[[#This Row],[Order Date]])</f>
        <v>6</v>
      </c>
      <c r="O834" t="str" cm="1">
        <f t="array" ref="O834">_xlfn.IFS(orders[[#This Row],[Customer Gender]] = "M", "Male",orders[[#This Row],[Customer Gender]] = "F", "Female",orders[[#This Row],[Customer Gender]] = "O", "Others",TRUE,"Unknown")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 - orders[[#This Row],[Order Date]]</f>
        <v>1</v>
      </c>
      <c r="N835">
        <f>WEEKNUM(orders[[#This Row],[Order Date]])</f>
        <v>6</v>
      </c>
      <c r="O835" t="str" cm="1">
        <f t="array" ref="O835">_xlfn.IFS(orders[[#This Row],[Customer Gender]] = "M", "Male",orders[[#This Row],[Customer Gender]] = "F", "Female",orders[[#This Row],[Customer Gender]] = "O", "Others",TRUE,"Unknown")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 - orders[[#This Row],[Order Date]]</f>
        <v>2</v>
      </c>
      <c r="N836">
        <f>WEEKNUM(orders[[#This Row],[Order Date]])</f>
        <v>6</v>
      </c>
      <c r="O836" t="str" cm="1">
        <f t="array" ref="O836">_xlfn.IFS(orders[[#This Row],[Customer Gender]] = "M", "Male",orders[[#This Row],[Customer Gender]] = "F", "Female",orders[[#This Row],[Customer Gender]] = "O", "Others",TRUE,"Unknown")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 - orders[[#This Row],[Order Date]]</f>
        <v>1</v>
      </c>
      <c r="N837">
        <f>WEEKNUM(orders[[#This Row],[Order Date]])</f>
        <v>6</v>
      </c>
      <c r="O837" t="str" cm="1">
        <f t="array" ref="O837">_xlfn.IFS(orders[[#This Row],[Customer Gender]] = "M", "Male",orders[[#This Row],[Customer Gender]] = "F", "Female",orders[[#This Row],[Customer Gender]] = "O", "Others",TRUE,"Unknown")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 - orders[[#This Row],[Order Date]]</f>
        <v>1</v>
      </c>
      <c r="N838">
        <f>WEEKNUM(orders[[#This Row],[Order Date]])</f>
        <v>6</v>
      </c>
      <c r="O838" t="str" cm="1">
        <f t="array" ref="O838">_xlfn.IFS(orders[[#This Row],[Customer Gender]] = "M", "Male",orders[[#This Row],[Customer Gender]] = "F", "Female",orders[[#This Row],[Customer Gender]] = "O", "Others",TRUE,"Unknown")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 - orders[[#This Row],[Order Date]]</f>
        <v>3</v>
      </c>
      <c r="N839">
        <f>WEEKNUM(orders[[#This Row],[Order Date]])</f>
        <v>6</v>
      </c>
      <c r="O839" t="str" cm="1">
        <f t="array" ref="O839">_xlfn.IFS(orders[[#This Row],[Customer Gender]] = "M", "Male",orders[[#This Row],[Customer Gender]] = "F", "Female",orders[[#This Row],[Customer Gender]] = "O", "Others",TRUE,"Unknown")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 - orders[[#This Row],[Order Date]]</f>
        <v>10</v>
      </c>
      <c r="N840">
        <f>WEEKNUM(orders[[#This Row],[Order Date]])</f>
        <v>6</v>
      </c>
      <c r="O840" t="str" cm="1">
        <f t="array" ref="O840">_xlfn.IFS(orders[[#This Row],[Customer Gender]] = "M", "Male",orders[[#This Row],[Customer Gender]] = "F", "Female",orders[[#This Row],[Customer Gender]] = "O", "Others",TRUE,"Unknown")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 - orders[[#This Row],[Order Date]]</f>
        <v>1</v>
      </c>
      <c r="N841">
        <f>WEEKNUM(orders[[#This Row],[Order Date]])</f>
        <v>6</v>
      </c>
      <c r="O841" t="str" cm="1">
        <f t="array" ref="O841">_xlfn.IFS(orders[[#This Row],[Customer Gender]] = "M", "Male",orders[[#This Row],[Customer Gender]] = "F", "Female",orders[[#This Row],[Customer Gender]] = "O", "Others",TRUE,"Unknown")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 - orders[[#This Row],[Order Date]]</f>
        <v>1</v>
      </c>
      <c r="N842">
        <f>WEEKNUM(orders[[#This Row],[Order Date]])</f>
        <v>6</v>
      </c>
      <c r="O842" t="str" cm="1">
        <f t="array" ref="O842">_xlfn.IFS(orders[[#This Row],[Customer Gender]] = "M", "Male",orders[[#This Row],[Customer Gender]] = "F", "Female",orders[[#This Row],[Customer Gender]] = "O", "Others",TRUE,"Unknown")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 - orders[[#This Row],[Order Date]]</f>
        <v>0</v>
      </c>
      <c r="N843">
        <f>WEEKNUM(orders[[#This Row],[Order Date]])</f>
        <v>6</v>
      </c>
      <c r="O843" t="str" cm="1">
        <f t="array" ref="O843">_xlfn.IFS(orders[[#This Row],[Customer Gender]] = "M", "Male",orders[[#This Row],[Customer Gender]] = "F", "Female",orders[[#This Row],[Customer Gender]] = "O", "Others",TRUE,"Unknown")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 - orders[[#This Row],[Order Date]]</f>
        <v>1</v>
      </c>
      <c r="N844">
        <f>WEEKNUM(orders[[#This Row],[Order Date]])</f>
        <v>6</v>
      </c>
      <c r="O844" t="str" cm="1">
        <f t="array" ref="O844">_xlfn.IFS(orders[[#This Row],[Customer Gender]] = "M", "Male",orders[[#This Row],[Customer Gender]] = "F", "Female",orders[[#This Row],[Customer Gender]] = "O", "Others",TRUE,"Unknown")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 - orders[[#This Row],[Order Date]]</f>
        <v>3</v>
      </c>
      <c r="N845">
        <f>WEEKNUM(orders[[#This Row],[Order Date]])</f>
        <v>6</v>
      </c>
      <c r="O845" t="str" cm="1">
        <f t="array" ref="O845">_xlfn.IFS(orders[[#This Row],[Customer Gender]] = "M", "Male",orders[[#This Row],[Customer Gender]] = "F", "Female",orders[[#This Row],[Customer Gender]] = "O", "Others",TRUE,"Unknown")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 - orders[[#This Row],[Order Date]]</f>
        <v>3</v>
      </c>
      <c r="N846">
        <f>WEEKNUM(orders[[#This Row],[Order Date]])</f>
        <v>6</v>
      </c>
      <c r="O846" t="str" cm="1">
        <f t="array" ref="O846">_xlfn.IFS(orders[[#This Row],[Customer Gender]] = "M", "Male",orders[[#This Row],[Customer Gender]] = "F", "Female",orders[[#This Row],[Customer Gender]] = "O", "Others",TRUE,"Unknown")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 - orders[[#This Row],[Order Date]]</f>
        <v>1</v>
      </c>
      <c r="N847">
        <f>WEEKNUM(orders[[#This Row],[Order Date]])</f>
        <v>6</v>
      </c>
      <c r="O847" t="str" cm="1">
        <f t="array" ref="O847">_xlfn.IFS(orders[[#This Row],[Customer Gender]] = "M", "Male",orders[[#This Row],[Customer Gender]] = "F", "Female",orders[[#This Row],[Customer Gender]] = "O", "Others",TRUE,"Unknown")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 - orders[[#This Row],[Order Date]]</f>
        <v>6</v>
      </c>
      <c r="N848">
        <f>WEEKNUM(orders[[#This Row],[Order Date]])</f>
        <v>6</v>
      </c>
      <c r="O848" t="str" cm="1">
        <f t="array" ref="O848">_xlfn.IFS(orders[[#This Row],[Customer Gender]] = "M", "Male",orders[[#This Row],[Customer Gender]] = "F", "Female",orders[[#This Row],[Customer Gender]] = "O", "Others",TRUE,"Unknown")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 - orders[[#This Row],[Order Date]]</f>
        <v>2</v>
      </c>
      <c r="N849">
        <f>WEEKNUM(orders[[#This Row],[Order Date]])</f>
        <v>6</v>
      </c>
      <c r="O849" t="str" cm="1">
        <f t="array" ref="O849">_xlfn.IFS(orders[[#This Row],[Customer Gender]] = "M", "Male",orders[[#This Row],[Customer Gender]] = "F", "Female",orders[[#This Row],[Customer Gender]] = "O", "Others",TRUE,"Unknown")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 - orders[[#This Row],[Order Date]]</f>
        <v>4</v>
      </c>
      <c r="N850">
        <f>WEEKNUM(orders[[#This Row],[Order Date]])</f>
        <v>6</v>
      </c>
      <c r="O850" t="str" cm="1">
        <f t="array" ref="O850">_xlfn.IFS(orders[[#This Row],[Customer Gender]] = "M", "Male",orders[[#This Row],[Customer Gender]] = "F", "Female",orders[[#This Row],[Customer Gender]] = "O", "Others",TRUE,"Unknown")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 - orders[[#This Row],[Order Date]]</f>
        <v>1</v>
      </c>
      <c r="N851">
        <f>WEEKNUM(orders[[#This Row],[Order Date]])</f>
        <v>6</v>
      </c>
      <c r="O851" t="str" cm="1">
        <f t="array" ref="O851">_xlfn.IFS(orders[[#This Row],[Customer Gender]] = "M", "Male",orders[[#This Row],[Customer Gender]] = "F", "Female",orders[[#This Row],[Customer Gender]] = "O", "Others",TRUE,"Unknown")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 - orders[[#This Row],[Order Date]]</f>
        <v>2</v>
      </c>
      <c r="N852">
        <f>WEEKNUM(orders[[#This Row],[Order Date]])</f>
        <v>6</v>
      </c>
      <c r="O852" t="str" cm="1">
        <f t="array" ref="O852">_xlfn.IFS(orders[[#This Row],[Customer Gender]] = "M", "Male",orders[[#This Row],[Customer Gender]] = "F", "Female",orders[[#This Row],[Customer Gender]] = "O", "Others",TRUE,"Unknown")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 - orders[[#This Row],[Order Date]]</f>
        <v>1</v>
      </c>
      <c r="N853">
        <f>WEEKNUM(orders[[#This Row],[Order Date]])</f>
        <v>6</v>
      </c>
      <c r="O853" t="str" cm="1">
        <f t="array" ref="O853">_xlfn.IFS(orders[[#This Row],[Customer Gender]] = "M", "Male",orders[[#This Row],[Customer Gender]] = "F", "Female",orders[[#This Row],[Customer Gender]] = "O", "Others",TRUE,"Unknown")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 - orders[[#This Row],[Order Date]]</f>
        <v>1</v>
      </c>
      <c r="N854">
        <f>WEEKNUM(orders[[#This Row],[Order Date]])</f>
        <v>6</v>
      </c>
      <c r="O854" t="str" cm="1">
        <f t="array" ref="O854">_xlfn.IFS(orders[[#This Row],[Customer Gender]] = "M", "Male",orders[[#This Row],[Customer Gender]] = "F", "Female",orders[[#This Row],[Customer Gender]] = "O", "Others",TRUE,"Unknown")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 - orders[[#This Row],[Order Date]]</f>
        <v>0</v>
      </c>
      <c r="N855">
        <f>WEEKNUM(orders[[#This Row],[Order Date]])</f>
        <v>6</v>
      </c>
      <c r="O855" t="str" cm="1">
        <f t="array" ref="O855">_xlfn.IFS(orders[[#This Row],[Customer Gender]] = "M", "Male",orders[[#This Row],[Customer Gender]] = "F", "Female",orders[[#This Row],[Customer Gender]] = "O", "Others",TRUE,"Unknown")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 - orders[[#This Row],[Order Date]]</f>
        <v>0</v>
      </c>
      <c r="N856">
        <f>WEEKNUM(orders[[#This Row],[Order Date]])</f>
        <v>6</v>
      </c>
      <c r="O856" t="str" cm="1">
        <f t="array" ref="O856">_xlfn.IFS(orders[[#This Row],[Customer Gender]] = "M", "Male",orders[[#This Row],[Customer Gender]] = "F", "Female",orders[[#This Row],[Customer Gender]] = "O", "Others",TRUE,"Unknown")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 - orders[[#This Row],[Order Date]]</f>
        <v>1</v>
      </c>
      <c r="N857">
        <f>WEEKNUM(orders[[#This Row],[Order Date]])</f>
        <v>6</v>
      </c>
      <c r="O857" t="str" cm="1">
        <f t="array" ref="O857">_xlfn.IFS(orders[[#This Row],[Customer Gender]] = "M", "Male",orders[[#This Row],[Customer Gender]] = "F", "Female",orders[[#This Row],[Customer Gender]] = "O", "Others",TRUE,"Unknown")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 - orders[[#This Row],[Order Date]]</f>
        <v>2</v>
      </c>
      <c r="N858">
        <f>WEEKNUM(orders[[#This Row],[Order Date]])</f>
        <v>6</v>
      </c>
      <c r="O858" t="str" cm="1">
        <f t="array" ref="O858">_xlfn.IFS(orders[[#This Row],[Customer Gender]] = "M", "Male",orders[[#This Row],[Customer Gender]] = "F", "Female",orders[[#This Row],[Customer Gender]] = "O", "Others",TRUE,"Unknown")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 - orders[[#This Row],[Order Date]]</f>
        <v>3</v>
      </c>
      <c r="N859">
        <f>WEEKNUM(orders[[#This Row],[Order Date]])</f>
        <v>6</v>
      </c>
      <c r="O859" t="str" cm="1">
        <f t="array" ref="O859">_xlfn.IFS(orders[[#This Row],[Customer Gender]] = "M", "Male",orders[[#This Row],[Customer Gender]] = "F", "Female",orders[[#This Row],[Customer Gender]] = "O", "Others",TRUE,"Unknown")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 - orders[[#This Row],[Order Date]]</f>
        <v>6</v>
      </c>
      <c r="N860">
        <f>WEEKNUM(orders[[#This Row],[Order Date]])</f>
        <v>6</v>
      </c>
      <c r="O860" t="str" cm="1">
        <f t="array" ref="O860">_xlfn.IFS(orders[[#This Row],[Customer Gender]] = "M", "Male",orders[[#This Row],[Customer Gender]] = "F", "Female",orders[[#This Row],[Customer Gender]] = "O", "Others",TRUE,"Unknown")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 - orders[[#This Row],[Order Date]]</f>
        <v>2</v>
      </c>
      <c r="N861">
        <f>WEEKNUM(orders[[#This Row],[Order Date]])</f>
        <v>6</v>
      </c>
      <c r="O861" t="str" cm="1">
        <f t="array" ref="O861">_xlfn.IFS(orders[[#This Row],[Customer Gender]] = "M", "Male",orders[[#This Row],[Customer Gender]] = "F", "Female",orders[[#This Row],[Customer Gender]] = "O", "Others",TRUE,"Unknown")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 - orders[[#This Row],[Order Date]]</f>
        <v>2</v>
      </c>
      <c r="N862">
        <f>WEEKNUM(orders[[#This Row],[Order Date]])</f>
        <v>6</v>
      </c>
      <c r="O862" t="str" cm="1">
        <f t="array" ref="O862">_xlfn.IFS(orders[[#This Row],[Customer Gender]] = "M", "Male",orders[[#This Row],[Customer Gender]] = "F", "Female",orders[[#This Row],[Customer Gender]] = "O", "Others",TRUE,"Unknown")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 - orders[[#This Row],[Order Date]]</f>
        <v>2</v>
      </c>
      <c r="N863">
        <f>WEEKNUM(orders[[#This Row],[Order Date]])</f>
        <v>6</v>
      </c>
      <c r="O863" t="str" cm="1">
        <f t="array" ref="O863">_xlfn.IFS(orders[[#This Row],[Customer Gender]] = "M", "Male",orders[[#This Row],[Customer Gender]] = "F", "Female",orders[[#This Row],[Customer Gender]] = "O", "Others",TRUE,"Unknown")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 - orders[[#This Row],[Order Date]]</f>
        <v>1</v>
      </c>
      <c r="N864">
        <f>WEEKNUM(orders[[#This Row],[Order Date]])</f>
        <v>6</v>
      </c>
      <c r="O864" t="str" cm="1">
        <f t="array" ref="O864">_xlfn.IFS(orders[[#This Row],[Customer Gender]] = "M", "Male",orders[[#This Row],[Customer Gender]] = "F", "Female",orders[[#This Row],[Customer Gender]] = "O", "Others",TRUE,"Unknown")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 - orders[[#This Row],[Order Date]]</f>
        <v>2</v>
      </c>
      <c r="N865">
        <f>WEEKNUM(orders[[#This Row],[Order Date]])</f>
        <v>6</v>
      </c>
      <c r="O865" t="str" cm="1">
        <f t="array" ref="O865">_xlfn.IFS(orders[[#This Row],[Customer Gender]] = "M", "Male",orders[[#This Row],[Customer Gender]] = "F", "Female",orders[[#This Row],[Customer Gender]] = "O", "Others",TRUE,"Unknown")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 - orders[[#This Row],[Order Date]]</f>
        <v>3</v>
      </c>
      <c r="N866">
        <f>WEEKNUM(orders[[#This Row],[Order Date]])</f>
        <v>6</v>
      </c>
      <c r="O866" t="str" cm="1">
        <f t="array" ref="O866">_xlfn.IFS(orders[[#This Row],[Customer Gender]] = "M", "Male",orders[[#This Row],[Customer Gender]] = "F", "Female",orders[[#This Row],[Customer Gender]] = "O", "Others",TRUE,"Unknown")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 - orders[[#This Row],[Order Date]]</f>
        <v>0</v>
      </c>
      <c r="N867">
        <f>WEEKNUM(orders[[#This Row],[Order Date]])</f>
        <v>6</v>
      </c>
      <c r="O867" t="str" cm="1">
        <f t="array" ref="O867">_xlfn.IFS(orders[[#This Row],[Customer Gender]] = "M", "Male",orders[[#This Row],[Customer Gender]] = "F", "Female",orders[[#This Row],[Customer Gender]] = "O", "Others",TRUE,"Unknown")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 - orders[[#This Row],[Order Date]]</f>
        <v>6</v>
      </c>
      <c r="N868">
        <f>WEEKNUM(orders[[#This Row],[Order Date]])</f>
        <v>6</v>
      </c>
      <c r="O868" t="str" cm="1">
        <f t="array" ref="O868">_xlfn.IFS(orders[[#This Row],[Customer Gender]] = "M", "Male",orders[[#This Row],[Customer Gender]] = "F", "Female",orders[[#This Row],[Customer Gender]] = "O", "Others",TRUE,"Unknown")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 - orders[[#This Row],[Order Date]]</f>
        <v>2</v>
      </c>
      <c r="N869">
        <f>WEEKNUM(orders[[#This Row],[Order Date]])</f>
        <v>6</v>
      </c>
      <c r="O869" t="str" cm="1">
        <f t="array" ref="O869">_xlfn.IFS(orders[[#This Row],[Customer Gender]] = "M", "Male",orders[[#This Row],[Customer Gender]] = "F", "Female",orders[[#This Row],[Customer Gender]] = "O", "Others",TRUE,"Unknown")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 - orders[[#This Row],[Order Date]]</f>
        <v>1</v>
      </c>
      <c r="N870">
        <f>WEEKNUM(orders[[#This Row],[Order Date]])</f>
        <v>6</v>
      </c>
      <c r="O870" t="str" cm="1">
        <f t="array" ref="O870">_xlfn.IFS(orders[[#This Row],[Customer Gender]] = "M", "Male",orders[[#This Row],[Customer Gender]] = "F", "Female",orders[[#This Row],[Customer Gender]] = "O", "Others",TRUE,"Unknown")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 - orders[[#This Row],[Order Date]]</f>
        <v>2</v>
      </c>
      <c r="N871">
        <f>WEEKNUM(orders[[#This Row],[Order Date]])</f>
        <v>6</v>
      </c>
      <c r="O871" t="str" cm="1">
        <f t="array" ref="O871">_xlfn.IFS(orders[[#This Row],[Customer Gender]] = "M", "Male",orders[[#This Row],[Customer Gender]] = "F", "Female",orders[[#This Row],[Customer Gender]] = "O", "Others",TRUE,"Unknown")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 - orders[[#This Row],[Order Date]]</f>
        <v>2</v>
      </c>
      <c r="N872">
        <f>WEEKNUM(orders[[#This Row],[Order Date]])</f>
        <v>6</v>
      </c>
      <c r="O872" t="str" cm="1">
        <f t="array" ref="O872">_xlfn.IFS(orders[[#This Row],[Customer Gender]] = "M", "Male",orders[[#This Row],[Customer Gender]] = "F", "Female",orders[[#This Row],[Customer Gender]] = "O", "Others",TRUE,"Unknown")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 - orders[[#This Row],[Order Date]]</f>
        <v>1</v>
      </c>
      <c r="N873">
        <f>WEEKNUM(orders[[#This Row],[Order Date]])</f>
        <v>6</v>
      </c>
      <c r="O873" t="str" cm="1">
        <f t="array" ref="O873">_xlfn.IFS(orders[[#This Row],[Customer Gender]] = "M", "Male",orders[[#This Row],[Customer Gender]] = "F", "Female",orders[[#This Row],[Customer Gender]] = "O", "Others",TRUE,"Unknown")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 - orders[[#This Row],[Order Date]]</f>
        <v>3</v>
      </c>
      <c r="N874">
        <f>WEEKNUM(orders[[#This Row],[Order Date]])</f>
        <v>6</v>
      </c>
      <c r="O874" t="str" cm="1">
        <f t="array" ref="O874">_xlfn.IFS(orders[[#This Row],[Customer Gender]] = "M", "Male",orders[[#This Row],[Customer Gender]] = "F", "Female",orders[[#This Row],[Customer Gender]] = "O", "Others",TRUE,"Unknown")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 - orders[[#This Row],[Order Date]]</f>
        <v>12</v>
      </c>
      <c r="N875">
        <f>WEEKNUM(orders[[#This Row],[Order Date]])</f>
        <v>6</v>
      </c>
      <c r="O875" t="str" cm="1">
        <f t="array" ref="O875">_xlfn.IFS(orders[[#This Row],[Customer Gender]] = "M", "Male",orders[[#This Row],[Customer Gender]] = "F", "Female",orders[[#This Row],[Customer Gender]] = "O", "Others",TRUE,"Unknown")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 - orders[[#This Row],[Order Date]]</f>
        <v>6</v>
      </c>
      <c r="N876">
        <f>WEEKNUM(orders[[#This Row],[Order Date]])</f>
        <v>6</v>
      </c>
      <c r="O876" t="str" cm="1">
        <f t="array" ref="O876">_xlfn.IFS(orders[[#This Row],[Customer Gender]] = "M", "Male",orders[[#This Row],[Customer Gender]] = "F", "Female",orders[[#This Row],[Customer Gender]] = "O", "Others",TRUE,"Unknown")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 - orders[[#This Row],[Order Date]]</f>
        <v>1</v>
      </c>
      <c r="N877">
        <f>WEEKNUM(orders[[#This Row],[Order Date]])</f>
        <v>6</v>
      </c>
      <c r="O877" t="str" cm="1">
        <f t="array" ref="O877">_xlfn.IFS(orders[[#This Row],[Customer Gender]] = "M", "Male",orders[[#This Row],[Customer Gender]] = "F", "Female",orders[[#This Row],[Customer Gender]] = "O", "Others",TRUE,"Unknown")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 - orders[[#This Row],[Order Date]]</f>
        <v>2</v>
      </c>
      <c r="N878">
        <f>WEEKNUM(orders[[#This Row],[Order Date]])</f>
        <v>6</v>
      </c>
      <c r="O878" t="str" cm="1">
        <f t="array" ref="O878">_xlfn.IFS(orders[[#This Row],[Customer Gender]] = "M", "Male",orders[[#This Row],[Customer Gender]] = "F", "Female",orders[[#This Row],[Customer Gender]] = "O", "Others",TRUE,"Unknown")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 - orders[[#This Row],[Order Date]]</f>
        <v>6</v>
      </c>
      <c r="N879">
        <f>WEEKNUM(orders[[#This Row],[Order Date]])</f>
        <v>6</v>
      </c>
      <c r="O879" t="str" cm="1">
        <f t="array" ref="O879">_xlfn.IFS(orders[[#This Row],[Customer Gender]] = "M", "Male",orders[[#This Row],[Customer Gender]] = "F", "Female",orders[[#This Row],[Customer Gender]] = "O", "Others",TRUE,"Unknown")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 - orders[[#This Row],[Order Date]]</f>
        <v>0</v>
      </c>
      <c r="N880">
        <f>WEEKNUM(orders[[#This Row],[Order Date]])</f>
        <v>6</v>
      </c>
      <c r="O880" t="str" cm="1">
        <f t="array" ref="O880">_xlfn.IFS(orders[[#This Row],[Customer Gender]] = "M", "Male",orders[[#This Row],[Customer Gender]] = "F", "Female",orders[[#This Row],[Customer Gender]] = "O", "Others",TRUE,"Unknown")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 - orders[[#This Row],[Order Date]]</f>
        <v>3</v>
      </c>
      <c r="N881">
        <f>WEEKNUM(orders[[#This Row],[Order Date]])</f>
        <v>6</v>
      </c>
      <c r="O881" t="str" cm="1">
        <f t="array" ref="O881">_xlfn.IFS(orders[[#This Row],[Customer Gender]] = "M", "Male",orders[[#This Row],[Customer Gender]] = "F", "Female",orders[[#This Row],[Customer Gender]] = "O", "Others",TRUE,"Unknown")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 - orders[[#This Row],[Order Date]]</f>
        <v>2</v>
      </c>
      <c r="N882">
        <f>WEEKNUM(orders[[#This Row],[Order Date]])</f>
        <v>6</v>
      </c>
      <c r="O882" t="str" cm="1">
        <f t="array" ref="O882">_xlfn.IFS(orders[[#This Row],[Customer Gender]] = "M", "Male",orders[[#This Row],[Customer Gender]] = "F", "Female",orders[[#This Row],[Customer Gender]] = "O", "Others",TRUE,"Unknown")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 - orders[[#This Row],[Order Date]]</f>
        <v>1</v>
      </c>
      <c r="N883">
        <f>WEEKNUM(orders[[#This Row],[Order Date]])</f>
        <v>6</v>
      </c>
      <c r="O883" t="str" cm="1">
        <f t="array" ref="O883">_xlfn.IFS(orders[[#This Row],[Customer Gender]] = "M", "Male",orders[[#This Row],[Customer Gender]] = "F", "Female",orders[[#This Row],[Customer Gender]] = "O", "Others",TRUE,"Unknown")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 - orders[[#This Row],[Order Date]]</f>
        <v>1</v>
      </c>
      <c r="N884">
        <f>WEEKNUM(orders[[#This Row],[Order Date]])</f>
        <v>6</v>
      </c>
      <c r="O884" t="str" cm="1">
        <f t="array" ref="O884">_xlfn.IFS(orders[[#This Row],[Customer Gender]] = "M", "Male",orders[[#This Row],[Customer Gender]] = "F", "Female",orders[[#This Row],[Customer Gender]] = "O", "Others",TRUE,"Unknown")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 - orders[[#This Row],[Order Date]]</f>
        <v>3</v>
      </c>
      <c r="N885">
        <f>WEEKNUM(orders[[#This Row],[Order Date]])</f>
        <v>6</v>
      </c>
      <c r="O885" t="str" cm="1">
        <f t="array" ref="O885">_xlfn.IFS(orders[[#This Row],[Customer Gender]] = "M", "Male",orders[[#This Row],[Customer Gender]] = "F", "Female",orders[[#This Row],[Customer Gender]] = "O", "Others",TRUE,"Unknown")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 - orders[[#This Row],[Order Date]]</f>
        <v>2</v>
      </c>
      <c r="N886">
        <f>WEEKNUM(orders[[#This Row],[Order Date]])</f>
        <v>6</v>
      </c>
      <c r="O886" t="str" cm="1">
        <f t="array" ref="O886">_xlfn.IFS(orders[[#This Row],[Customer Gender]] = "M", "Male",orders[[#This Row],[Customer Gender]] = "F", "Female",orders[[#This Row],[Customer Gender]] = "O", "Others",TRUE,"Unknown")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 - orders[[#This Row],[Order Date]]</f>
        <v>7</v>
      </c>
      <c r="N887">
        <f>WEEKNUM(orders[[#This Row],[Order Date]])</f>
        <v>6</v>
      </c>
      <c r="O887" t="str" cm="1">
        <f t="array" ref="O887">_xlfn.IFS(orders[[#This Row],[Customer Gender]] = "M", "Male",orders[[#This Row],[Customer Gender]] = "F", "Female",orders[[#This Row],[Customer Gender]] = "O", "Others",TRUE,"Unknown")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 - orders[[#This Row],[Order Date]]</f>
        <v>1</v>
      </c>
      <c r="N888">
        <f>WEEKNUM(orders[[#This Row],[Order Date]])</f>
        <v>6</v>
      </c>
      <c r="O888" t="str" cm="1">
        <f t="array" ref="O888">_xlfn.IFS(orders[[#This Row],[Customer Gender]] = "M", "Male",orders[[#This Row],[Customer Gender]] = "F", "Female",orders[[#This Row],[Customer Gender]] = "O", "Others",TRUE,"Unknown")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 - orders[[#This Row],[Order Date]]</f>
        <v>1</v>
      </c>
      <c r="N889">
        <f>WEEKNUM(orders[[#This Row],[Order Date]])</f>
        <v>6</v>
      </c>
      <c r="O889" t="str" cm="1">
        <f t="array" ref="O889">_xlfn.IFS(orders[[#This Row],[Customer Gender]] = "M", "Male",orders[[#This Row],[Customer Gender]] = "F", "Female",orders[[#This Row],[Customer Gender]] = "O", "Others",TRUE,"Unknown")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 - orders[[#This Row],[Order Date]]</f>
        <v>4</v>
      </c>
      <c r="N890">
        <f>WEEKNUM(orders[[#This Row],[Order Date]])</f>
        <v>6</v>
      </c>
      <c r="O890" t="str" cm="1">
        <f t="array" ref="O890">_xlfn.IFS(orders[[#This Row],[Customer Gender]] = "M", "Male",orders[[#This Row],[Customer Gender]] = "F", "Female",orders[[#This Row],[Customer Gender]] = "O", "Others",TRUE,"Unknown")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 - orders[[#This Row],[Order Date]]</f>
        <v>1</v>
      </c>
      <c r="N891">
        <f>WEEKNUM(orders[[#This Row],[Order Date]])</f>
        <v>6</v>
      </c>
      <c r="O891" t="str" cm="1">
        <f t="array" ref="O891">_xlfn.IFS(orders[[#This Row],[Customer Gender]] = "M", "Male",orders[[#This Row],[Customer Gender]] = "F", "Female",orders[[#This Row],[Customer Gender]] = "O", "Others",TRUE,"Unknown")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 - orders[[#This Row],[Order Date]]</f>
        <v>1</v>
      </c>
      <c r="N892">
        <f>WEEKNUM(orders[[#This Row],[Order Date]])</f>
        <v>6</v>
      </c>
      <c r="O892" t="str" cm="1">
        <f t="array" ref="O892">_xlfn.IFS(orders[[#This Row],[Customer Gender]] = "M", "Male",orders[[#This Row],[Customer Gender]] = "F", "Female",orders[[#This Row],[Customer Gender]] = "O", "Others",TRUE,"Unknown")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 - orders[[#This Row],[Order Date]]</f>
        <v>2</v>
      </c>
      <c r="N893">
        <f>WEEKNUM(orders[[#This Row],[Order Date]])</f>
        <v>6</v>
      </c>
      <c r="O893" t="str" cm="1">
        <f t="array" ref="O893">_xlfn.IFS(orders[[#This Row],[Customer Gender]] = "M", "Male",orders[[#This Row],[Customer Gender]] = "F", "Female",orders[[#This Row],[Customer Gender]] = "O", "Others",TRUE,"Unknown")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 - orders[[#This Row],[Order Date]]</f>
        <v>6</v>
      </c>
      <c r="N894">
        <f>WEEKNUM(orders[[#This Row],[Order Date]])</f>
        <v>6</v>
      </c>
      <c r="O894" t="str" cm="1">
        <f t="array" ref="O894">_xlfn.IFS(orders[[#This Row],[Customer Gender]] = "M", "Male",orders[[#This Row],[Customer Gender]] = "F", "Female",orders[[#This Row],[Customer Gender]] = "O", "Others",TRUE,"Unknown")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 - orders[[#This Row],[Order Date]]</f>
        <v>2</v>
      </c>
      <c r="N895">
        <f>WEEKNUM(orders[[#This Row],[Order Date]])</f>
        <v>6</v>
      </c>
      <c r="O895" t="str" cm="1">
        <f t="array" ref="O895">_xlfn.IFS(orders[[#This Row],[Customer Gender]] = "M", "Male",orders[[#This Row],[Customer Gender]] = "F", "Female",orders[[#This Row],[Customer Gender]] = "O", "Others",TRUE,"Unknown")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 - orders[[#This Row],[Order Date]]</f>
        <v>2</v>
      </c>
      <c r="N896">
        <f>WEEKNUM(orders[[#This Row],[Order Date]])</f>
        <v>6</v>
      </c>
      <c r="O896" t="str" cm="1">
        <f t="array" ref="O896">_xlfn.IFS(orders[[#This Row],[Customer Gender]] = "M", "Male",orders[[#This Row],[Customer Gender]] = "F", "Female",orders[[#This Row],[Customer Gender]] = "O", "Others",TRUE,"Unknown")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 - orders[[#This Row],[Order Date]]</f>
        <v>1</v>
      </c>
      <c r="N897">
        <f>WEEKNUM(orders[[#This Row],[Order Date]])</f>
        <v>6</v>
      </c>
      <c r="O897" t="str" cm="1">
        <f t="array" ref="O897">_xlfn.IFS(orders[[#This Row],[Customer Gender]] = "M", "Male",orders[[#This Row],[Customer Gender]] = "F", "Female",orders[[#This Row],[Customer Gender]] = "O", "Others",TRUE,"Unknown")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 - orders[[#This Row],[Order Date]]</f>
        <v>5</v>
      </c>
      <c r="N898">
        <f>WEEKNUM(orders[[#This Row],[Order Date]])</f>
        <v>6</v>
      </c>
      <c r="O898" t="str" cm="1">
        <f t="array" ref="O898">_xlfn.IFS(orders[[#This Row],[Customer Gender]] = "M", "Male",orders[[#This Row],[Customer Gender]] = "F", "Female",orders[[#This Row],[Customer Gender]] = "O", "Others",TRUE,"Unknown")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 - orders[[#This Row],[Order Date]]</f>
        <v>2</v>
      </c>
      <c r="N899">
        <f>WEEKNUM(orders[[#This Row],[Order Date]])</f>
        <v>6</v>
      </c>
      <c r="O899" t="str" cm="1">
        <f t="array" ref="O899">_xlfn.IFS(orders[[#This Row],[Customer Gender]] = "M", "Male",orders[[#This Row],[Customer Gender]] = "F", "Female",orders[[#This Row],[Customer Gender]] = "O", "Others",TRUE,"Unknown")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 - orders[[#This Row],[Order Date]]</f>
        <v>1</v>
      </c>
      <c r="N900">
        <f>WEEKNUM(orders[[#This Row],[Order Date]])</f>
        <v>6</v>
      </c>
      <c r="O900" t="str" cm="1">
        <f t="array" ref="O900">_xlfn.IFS(orders[[#This Row],[Customer Gender]] = "M", "Male",orders[[#This Row],[Customer Gender]] = "F", "Female",orders[[#This Row],[Customer Gender]] = "O", "Others",TRUE,"Unknown")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 - orders[[#This Row],[Order Date]]</f>
        <v>1</v>
      </c>
      <c r="N901">
        <f>WEEKNUM(orders[[#This Row],[Order Date]])</f>
        <v>6</v>
      </c>
      <c r="O901" t="str" cm="1">
        <f t="array" ref="O901">_xlfn.IFS(orders[[#This Row],[Customer Gender]] = "M", "Male",orders[[#This Row],[Customer Gender]] = "F", "Female",orders[[#This Row],[Customer Gender]] = "O", "Others",TRUE,"Unknown")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 - orders[[#This Row],[Order Date]]</f>
        <v>2</v>
      </c>
      <c r="N902">
        <f>WEEKNUM(orders[[#This Row],[Order Date]])</f>
        <v>6</v>
      </c>
      <c r="O902" t="str" cm="1">
        <f t="array" ref="O902">_xlfn.IFS(orders[[#This Row],[Customer Gender]] = "M", "Male",orders[[#This Row],[Customer Gender]] = "F", "Female",orders[[#This Row],[Customer Gender]] = "O", "Others",TRUE,"Unknown")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 - orders[[#This Row],[Order Date]]</f>
        <v>1</v>
      </c>
      <c r="N903">
        <f>WEEKNUM(orders[[#This Row],[Order Date]])</f>
        <v>6</v>
      </c>
      <c r="O903" t="str" cm="1">
        <f t="array" ref="O903">_xlfn.IFS(orders[[#This Row],[Customer Gender]] = "M", "Male",orders[[#This Row],[Customer Gender]] = "F", "Female",orders[[#This Row],[Customer Gender]] = "O", "Others",TRUE,"Unknown")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 - orders[[#This Row],[Order Date]]</f>
        <v>1</v>
      </c>
      <c r="N904">
        <f>WEEKNUM(orders[[#This Row],[Order Date]])</f>
        <v>6</v>
      </c>
      <c r="O904" t="str" cm="1">
        <f t="array" ref="O904">_xlfn.IFS(orders[[#This Row],[Customer Gender]] = "M", "Male",orders[[#This Row],[Customer Gender]] = "F", "Female",orders[[#This Row],[Customer Gender]] = "O", "Others",TRUE,"Unknown")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 - orders[[#This Row],[Order Date]]</f>
        <v>2</v>
      </c>
      <c r="N905">
        <f>WEEKNUM(orders[[#This Row],[Order Date]])</f>
        <v>6</v>
      </c>
      <c r="O905" t="str" cm="1">
        <f t="array" ref="O905">_xlfn.IFS(orders[[#This Row],[Customer Gender]] = "M", "Male",orders[[#This Row],[Customer Gender]] = "F", "Female",orders[[#This Row],[Customer Gender]] = "O", "Others",TRUE,"Unknown")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 - orders[[#This Row],[Order Date]]</f>
        <v>3</v>
      </c>
      <c r="N906">
        <f>WEEKNUM(orders[[#This Row],[Order Date]])</f>
        <v>6</v>
      </c>
      <c r="O906" t="str" cm="1">
        <f t="array" ref="O906">_xlfn.IFS(orders[[#This Row],[Customer Gender]] = "M", "Male",orders[[#This Row],[Customer Gender]] = "F", "Female",orders[[#This Row],[Customer Gender]] = "O", "Others",TRUE,"Unknown")</f>
        <v>Others</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 - orders[[#This Row],[Order Date]]</f>
        <v>4</v>
      </c>
      <c r="N907">
        <f>WEEKNUM(orders[[#This Row],[Order Date]])</f>
        <v>6</v>
      </c>
      <c r="O907" t="str" cm="1">
        <f t="array" ref="O907">_xlfn.IFS(orders[[#This Row],[Customer Gender]] = "M", "Male",orders[[#This Row],[Customer Gender]] = "F", "Female",orders[[#This Row],[Customer Gender]] = "O", "Others",TRUE,"Unknown")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 - orders[[#This Row],[Order Date]]</f>
        <v>13</v>
      </c>
      <c r="N908">
        <f>WEEKNUM(orders[[#This Row],[Order Date]])</f>
        <v>6</v>
      </c>
      <c r="O908" t="str" cm="1">
        <f t="array" ref="O908">_xlfn.IFS(orders[[#This Row],[Customer Gender]] = "M", "Male",orders[[#This Row],[Customer Gender]] = "F", "Female",orders[[#This Row],[Customer Gender]] = "O", "Others",TRUE,"Unknown")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 - orders[[#This Row],[Order Date]]</f>
        <v>2</v>
      </c>
      <c r="N909">
        <f>WEEKNUM(orders[[#This Row],[Order Date]])</f>
        <v>6</v>
      </c>
      <c r="O909" t="str" cm="1">
        <f t="array" ref="O909">_xlfn.IFS(orders[[#This Row],[Customer Gender]] = "M", "Male",orders[[#This Row],[Customer Gender]] = "F", "Female",orders[[#This Row],[Customer Gender]] = "O", "Others",TRUE,"Unknown")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 - orders[[#This Row],[Order Date]]</f>
        <v>1</v>
      </c>
      <c r="N910">
        <f>WEEKNUM(orders[[#This Row],[Order Date]])</f>
        <v>6</v>
      </c>
      <c r="O910" t="str" cm="1">
        <f t="array" ref="O910">_xlfn.IFS(orders[[#This Row],[Customer Gender]] = "M", "Male",orders[[#This Row],[Customer Gender]] = "F", "Female",orders[[#This Row],[Customer Gender]] = "O", "Others",TRUE,"Unknown")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 - orders[[#This Row],[Order Date]]</f>
        <v>0</v>
      </c>
      <c r="N911">
        <f>WEEKNUM(orders[[#This Row],[Order Date]])</f>
        <v>6</v>
      </c>
      <c r="O911" t="str" cm="1">
        <f t="array" ref="O911">_xlfn.IFS(orders[[#This Row],[Customer Gender]] = "M", "Male",orders[[#This Row],[Customer Gender]] = "F", "Female",orders[[#This Row],[Customer Gender]] = "O", "Others",TRUE,"Unknown")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 - orders[[#This Row],[Order Date]]</f>
        <v>1</v>
      </c>
      <c r="N912">
        <f>WEEKNUM(orders[[#This Row],[Order Date]])</f>
        <v>6</v>
      </c>
      <c r="O912" t="str" cm="1">
        <f t="array" ref="O912">_xlfn.IFS(orders[[#This Row],[Customer Gender]] = "M", "Male",orders[[#This Row],[Customer Gender]] = "F", "Female",orders[[#This Row],[Customer Gender]] = "O", "Others",TRUE,"Unknown")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 - orders[[#This Row],[Order Date]]</f>
        <v>2</v>
      </c>
      <c r="N913">
        <f>WEEKNUM(orders[[#This Row],[Order Date]])</f>
        <v>6</v>
      </c>
      <c r="O913" t="str" cm="1">
        <f t="array" ref="O913">_xlfn.IFS(orders[[#This Row],[Customer Gender]] = "M", "Male",orders[[#This Row],[Customer Gender]] = "F", "Female",orders[[#This Row],[Customer Gender]] = "O", "Others",TRUE,"Unknown")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 - orders[[#This Row],[Order Date]]</f>
        <v>2</v>
      </c>
      <c r="N914">
        <f>WEEKNUM(orders[[#This Row],[Order Date]])</f>
        <v>6</v>
      </c>
      <c r="O914" t="str" cm="1">
        <f t="array" ref="O914">_xlfn.IFS(orders[[#This Row],[Customer Gender]] = "M", "Male",orders[[#This Row],[Customer Gender]] = "F", "Female",orders[[#This Row],[Customer Gender]] = "O", "Others",TRUE,"Unknown")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 - orders[[#This Row],[Order Date]]</f>
        <v>2</v>
      </c>
      <c r="N915">
        <f>WEEKNUM(orders[[#This Row],[Order Date]])</f>
        <v>6</v>
      </c>
      <c r="O915" t="str" cm="1">
        <f t="array" ref="O915">_xlfn.IFS(orders[[#This Row],[Customer Gender]] = "M", "Male",orders[[#This Row],[Customer Gender]] = "F", "Female",orders[[#This Row],[Customer Gender]] = "O", "Others",TRUE,"Unknown")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 - orders[[#This Row],[Order Date]]</f>
        <v>1</v>
      </c>
      <c r="N916">
        <f>WEEKNUM(orders[[#This Row],[Order Date]])</f>
        <v>6</v>
      </c>
      <c r="O916" t="str" cm="1">
        <f t="array" ref="O916">_xlfn.IFS(orders[[#This Row],[Customer Gender]] = "M", "Male",orders[[#This Row],[Customer Gender]] = "F", "Female",orders[[#This Row],[Customer Gender]] = "O", "Others",TRUE,"Unknown")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 - orders[[#This Row],[Order Date]]</f>
        <v>4</v>
      </c>
      <c r="N917">
        <f>WEEKNUM(orders[[#This Row],[Order Date]])</f>
        <v>6</v>
      </c>
      <c r="O917" t="str" cm="1">
        <f t="array" ref="O917">_xlfn.IFS(orders[[#This Row],[Customer Gender]] = "M", "Male",orders[[#This Row],[Customer Gender]] = "F", "Female",orders[[#This Row],[Customer Gender]] = "O", "Others",TRUE,"Unknown")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 - orders[[#This Row],[Order Date]]</f>
        <v>2</v>
      </c>
      <c r="N918">
        <f>WEEKNUM(orders[[#This Row],[Order Date]])</f>
        <v>6</v>
      </c>
      <c r="O918" t="str" cm="1">
        <f t="array" ref="O918">_xlfn.IFS(orders[[#This Row],[Customer Gender]] = "M", "Male",orders[[#This Row],[Customer Gender]] = "F", "Female",orders[[#This Row],[Customer Gender]] = "O", "Others",TRUE,"Unknown")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 - orders[[#This Row],[Order Date]]</f>
        <v>4</v>
      </c>
      <c r="N919">
        <f>WEEKNUM(orders[[#This Row],[Order Date]])</f>
        <v>6</v>
      </c>
      <c r="O919" t="str" cm="1">
        <f t="array" ref="O919">_xlfn.IFS(orders[[#This Row],[Customer Gender]] = "M", "Male",orders[[#This Row],[Customer Gender]] = "F", "Female",orders[[#This Row],[Customer Gender]] = "O", "Others",TRUE,"Unknown")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 - orders[[#This Row],[Order Date]]</f>
        <v>4</v>
      </c>
      <c r="N920">
        <f>WEEKNUM(orders[[#This Row],[Order Date]])</f>
        <v>6</v>
      </c>
      <c r="O920" t="str" cm="1">
        <f t="array" ref="O920">_xlfn.IFS(orders[[#This Row],[Customer Gender]] = "M", "Male",orders[[#This Row],[Customer Gender]] = "F", "Female",orders[[#This Row],[Customer Gender]] = "O", "Others",TRUE,"Unknown")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 - orders[[#This Row],[Order Date]]</f>
        <v>3</v>
      </c>
      <c r="N921">
        <f>WEEKNUM(orders[[#This Row],[Order Date]])</f>
        <v>6</v>
      </c>
      <c r="O921" t="str" cm="1">
        <f t="array" ref="O921">_xlfn.IFS(orders[[#This Row],[Customer Gender]] = "M", "Male",orders[[#This Row],[Customer Gender]] = "F", "Female",orders[[#This Row],[Customer Gender]] = "O", "Others",TRUE,"Unknown")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 - orders[[#This Row],[Order Date]]</f>
        <v>1</v>
      </c>
      <c r="N922">
        <f>WEEKNUM(orders[[#This Row],[Order Date]])</f>
        <v>6</v>
      </c>
      <c r="O922" t="str" cm="1">
        <f t="array" ref="O922">_xlfn.IFS(orders[[#This Row],[Customer Gender]] = "M", "Male",orders[[#This Row],[Customer Gender]] = "F", "Female",orders[[#This Row],[Customer Gender]] = "O", "Others",TRUE,"Unknown")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 - orders[[#This Row],[Order Date]]</f>
        <v>2</v>
      </c>
      <c r="N923">
        <f>WEEKNUM(orders[[#This Row],[Order Date]])</f>
        <v>6</v>
      </c>
      <c r="O923" t="str" cm="1">
        <f t="array" ref="O923">_xlfn.IFS(orders[[#This Row],[Customer Gender]] = "M", "Male",orders[[#This Row],[Customer Gender]] = "F", "Female",orders[[#This Row],[Customer Gender]] = "O", "Others",TRUE,"Unknown")</f>
        <v>Others</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 - orders[[#This Row],[Order Date]]</f>
        <v>5</v>
      </c>
      <c r="N924">
        <f>WEEKNUM(orders[[#This Row],[Order Date]])</f>
        <v>6</v>
      </c>
      <c r="O924" t="str" cm="1">
        <f t="array" ref="O924">_xlfn.IFS(orders[[#This Row],[Customer Gender]] = "M", "Male",orders[[#This Row],[Customer Gender]] = "F", "Female",orders[[#This Row],[Customer Gender]] = "O", "Others",TRUE,"Unknown")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 - orders[[#This Row],[Order Date]]</f>
        <v>2</v>
      </c>
      <c r="N925">
        <f>WEEKNUM(orders[[#This Row],[Order Date]])</f>
        <v>6</v>
      </c>
      <c r="O925" t="str" cm="1">
        <f t="array" ref="O925">_xlfn.IFS(orders[[#This Row],[Customer Gender]] = "M", "Male",orders[[#This Row],[Customer Gender]] = "F", "Female",orders[[#This Row],[Customer Gender]] = "O", "Others",TRUE,"Unknown")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 - orders[[#This Row],[Order Date]]</f>
        <v>4</v>
      </c>
      <c r="N926">
        <f>WEEKNUM(orders[[#This Row],[Order Date]])</f>
        <v>6</v>
      </c>
      <c r="O926" t="str" cm="1">
        <f t="array" ref="O926">_xlfn.IFS(orders[[#This Row],[Customer Gender]] = "M", "Male",orders[[#This Row],[Customer Gender]] = "F", "Female",orders[[#This Row],[Customer Gender]] = "O", "Others",TRUE,"Unknown")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 - orders[[#This Row],[Order Date]]</f>
        <v>2</v>
      </c>
      <c r="N927">
        <f>WEEKNUM(orders[[#This Row],[Order Date]])</f>
        <v>6</v>
      </c>
      <c r="O927" t="str" cm="1">
        <f t="array" ref="O927">_xlfn.IFS(orders[[#This Row],[Customer Gender]] = "M", "Male",orders[[#This Row],[Customer Gender]] = "F", "Female",orders[[#This Row],[Customer Gender]] = "O", "Others",TRUE,"Unknown")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 - orders[[#This Row],[Order Date]]</f>
        <v>2</v>
      </c>
      <c r="N928">
        <f>WEEKNUM(orders[[#This Row],[Order Date]])</f>
        <v>6</v>
      </c>
      <c r="O928" t="str" cm="1">
        <f t="array" ref="O928">_xlfn.IFS(orders[[#This Row],[Customer Gender]] = "M", "Male",orders[[#This Row],[Customer Gender]] = "F", "Female",orders[[#This Row],[Customer Gender]] = "O", "Others",TRUE,"Unknown")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 - orders[[#This Row],[Order Date]]</f>
        <v>2</v>
      </c>
      <c r="N929">
        <f>WEEKNUM(orders[[#This Row],[Order Date]])</f>
        <v>6</v>
      </c>
      <c r="O929" t="str" cm="1">
        <f t="array" ref="O929">_xlfn.IFS(orders[[#This Row],[Customer Gender]] = "M", "Male",orders[[#This Row],[Customer Gender]] = "F", "Female",orders[[#This Row],[Customer Gender]] = "O", "Others",TRUE,"Unknown")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 - orders[[#This Row],[Order Date]]</f>
        <v>2</v>
      </c>
      <c r="N930">
        <f>WEEKNUM(orders[[#This Row],[Order Date]])</f>
        <v>6</v>
      </c>
      <c r="O930" t="str" cm="1">
        <f t="array" ref="O930">_xlfn.IFS(orders[[#This Row],[Customer Gender]] = "M", "Male",orders[[#This Row],[Customer Gender]] = "F", "Female",orders[[#This Row],[Customer Gender]] = "O", "Others",TRUE,"Unknown")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 - orders[[#This Row],[Order Date]]</f>
        <v>8</v>
      </c>
      <c r="N931">
        <f>WEEKNUM(orders[[#This Row],[Order Date]])</f>
        <v>6</v>
      </c>
      <c r="O931" t="str" cm="1">
        <f t="array" ref="O931">_xlfn.IFS(orders[[#This Row],[Customer Gender]] = "M", "Male",orders[[#This Row],[Customer Gender]] = "F", "Female",orders[[#This Row],[Customer Gender]] = "O", "Others",TRUE,"Unknown")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 - orders[[#This Row],[Order Date]]</f>
        <v>0</v>
      </c>
      <c r="N932">
        <f>WEEKNUM(orders[[#This Row],[Order Date]])</f>
        <v>6</v>
      </c>
      <c r="O932" t="str" cm="1">
        <f t="array" ref="O932">_xlfn.IFS(orders[[#This Row],[Customer Gender]] = "M", "Male",orders[[#This Row],[Customer Gender]] = "F", "Female",orders[[#This Row],[Customer Gender]] = "O", "Others",TRUE,"Unknown")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 - orders[[#This Row],[Order Date]]</f>
        <v>1</v>
      </c>
      <c r="N933">
        <f>WEEKNUM(orders[[#This Row],[Order Date]])</f>
        <v>6</v>
      </c>
      <c r="O933" t="str" cm="1">
        <f t="array" ref="O933">_xlfn.IFS(orders[[#This Row],[Customer Gender]] = "M", "Male",orders[[#This Row],[Customer Gender]] = "F", "Female",orders[[#This Row],[Customer Gender]] = "O", "Others",TRUE,"Unknown")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 - orders[[#This Row],[Order Date]]</f>
        <v>1</v>
      </c>
      <c r="N934">
        <f>WEEKNUM(orders[[#This Row],[Order Date]])</f>
        <v>6</v>
      </c>
      <c r="O934" t="str" cm="1">
        <f t="array" ref="O934">_xlfn.IFS(orders[[#This Row],[Customer Gender]] = "M", "Male",orders[[#This Row],[Customer Gender]] = "F", "Female",orders[[#This Row],[Customer Gender]] = "O", "Others",TRUE,"Unknown")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 - orders[[#This Row],[Order Date]]</f>
        <v>3</v>
      </c>
      <c r="N935">
        <f>WEEKNUM(orders[[#This Row],[Order Date]])</f>
        <v>6</v>
      </c>
      <c r="O935" t="str" cm="1">
        <f t="array" ref="O935">_xlfn.IFS(orders[[#This Row],[Customer Gender]] = "M", "Male",orders[[#This Row],[Customer Gender]] = "F", "Female",orders[[#This Row],[Customer Gender]] = "O", "Others",TRUE,"Unknown")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 - orders[[#This Row],[Order Date]]</f>
        <v>7</v>
      </c>
      <c r="N936">
        <f>WEEKNUM(orders[[#This Row],[Order Date]])</f>
        <v>6</v>
      </c>
      <c r="O936" t="str" cm="1">
        <f t="array" ref="O936">_xlfn.IFS(orders[[#This Row],[Customer Gender]] = "M", "Male",orders[[#This Row],[Customer Gender]] = "F", "Female",orders[[#This Row],[Customer Gender]] = "O", "Others",TRUE,"Unknown")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 - orders[[#This Row],[Order Date]]</f>
        <v>4</v>
      </c>
      <c r="N937">
        <f>WEEKNUM(orders[[#This Row],[Order Date]])</f>
        <v>6</v>
      </c>
      <c r="O937" t="str" cm="1">
        <f t="array" ref="O937">_xlfn.IFS(orders[[#This Row],[Customer Gender]] = "M", "Male",orders[[#This Row],[Customer Gender]] = "F", "Female",orders[[#This Row],[Customer Gender]] = "O", "Others",TRUE,"Unknown")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 - orders[[#This Row],[Order Date]]</f>
        <v>2</v>
      </c>
      <c r="N938">
        <f>WEEKNUM(orders[[#This Row],[Order Date]])</f>
        <v>6</v>
      </c>
      <c r="O938" t="str" cm="1">
        <f t="array" ref="O938">_xlfn.IFS(orders[[#This Row],[Customer Gender]] = "M", "Male",orders[[#This Row],[Customer Gender]] = "F", "Female",orders[[#This Row],[Customer Gender]] = "O", "Others",TRUE,"Unknown")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 - orders[[#This Row],[Order Date]]</f>
        <v>3</v>
      </c>
      <c r="N939">
        <f>WEEKNUM(orders[[#This Row],[Order Date]])</f>
        <v>6</v>
      </c>
      <c r="O939" t="str" cm="1">
        <f t="array" ref="O939">_xlfn.IFS(orders[[#This Row],[Customer Gender]] = "M", "Male",orders[[#This Row],[Customer Gender]] = "F", "Female",orders[[#This Row],[Customer Gender]] = "O", "Others",TRUE,"Unknown")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 - orders[[#This Row],[Order Date]]</f>
        <v>1</v>
      </c>
      <c r="N940">
        <f>WEEKNUM(orders[[#This Row],[Order Date]])</f>
        <v>6</v>
      </c>
      <c r="O940" t="str" cm="1">
        <f t="array" ref="O940">_xlfn.IFS(orders[[#This Row],[Customer Gender]] = "M", "Male",orders[[#This Row],[Customer Gender]] = "F", "Female",orders[[#This Row],[Customer Gender]] = "O", "Others",TRUE,"Unknown")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 - orders[[#This Row],[Order Date]]</f>
        <v>2</v>
      </c>
      <c r="N941">
        <f>WEEKNUM(orders[[#This Row],[Order Date]])</f>
        <v>6</v>
      </c>
      <c r="O941" t="str" cm="1">
        <f t="array" ref="O941">_xlfn.IFS(orders[[#This Row],[Customer Gender]] = "M", "Male",orders[[#This Row],[Customer Gender]] = "F", "Female",orders[[#This Row],[Customer Gender]] = "O", "Others",TRUE,"Unknown")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 - orders[[#This Row],[Order Date]]</f>
        <v>2</v>
      </c>
      <c r="N942">
        <f>WEEKNUM(orders[[#This Row],[Order Date]])</f>
        <v>6</v>
      </c>
      <c r="O942" t="str" cm="1">
        <f t="array" ref="O942">_xlfn.IFS(orders[[#This Row],[Customer Gender]] = "M", "Male",orders[[#This Row],[Customer Gender]] = "F", "Female",orders[[#This Row],[Customer Gender]] = "O", "Others",TRUE,"Unknown")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 - orders[[#This Row],[Order Date]]</f>
        <v>4</v>
      </c>
      <c r="N943">
        <f>WEEKNUM(orders[[#This Row],[Order Date]])</f>
        <v>6</v>
      </c>
      <c r="O943" t="str" cm="1">
        <f t="array" ref="O943">_xlfn.IFS(orders[[#This Row],[Customer Gender]] = "M", "Male",orders[[#This Row],[Customer Gender]] = "F", "Female",orders[[#This Row],[Customer Gender]] = "O", "Others",TRUE,"Unknown")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 - orders[[#This Row],[Order Date]]</f>
        <v>2</v>
      </c>
      <c r="N944">
        <f>WEEKNUM(orders[[#This Row],[Order Date]])</f>
        <v>6</v>
      </c>
      <c r="O944" t="str" cm="1">
        <f t="array" ref="O944">_xlfn.IFS(orders[[#This Row],[Customer Gender]] = "M", "Male",orders[[#This Row],[Customer Gender]] = "F", "Female",orders[[#This Row],[Customer Gender]] = "O", "Others",TRUE,"Unknown")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 - orders[[#This Row],[Order Date]]</f>
        <v>1</v>
      </c>
      <c r="N945">
        <f>WEEKNUM(orders[[#This Row],[Order Date]])</f>
        <v>6</v>
      </c>
      <c r="O945" t="str" cm="1">
        <f t="array" ref="O945">_xlfn.IFS(orders[[#This Row],[Customer Gender]] = "M", "Male",orders[[#This Row],[Customer Gender]] = "F", "Female",orders[[#This Row],[Customer Gender]] = "O", "Others",TRUE,"Unknown")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 - orders[[#This Row],[Order Date]]</f>
        <v>14</v>
      </c>
      <c r="N946">
        <f>WEEKNUM(orders[[#This Row],[Order Date]])</f>
        <v>6</v>
      </c>
      <c r="O946" t="str" cm="1">
        <f t="array" ref="O946">_xlfn.IFS(orders[[#This Row],[Customer Gender]] = "M", "Male",orders[[#This Row],[Customer Gender]] = "F", "Female",orders[[#This Row],[Customer Gender]] = "O", "Others",TRUE,"Unknown")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 - orders[[#This Row],[Order Date]]</f>
        <v>1</v>
      </c>
      <c r="N947">
        <f>WEEKNUM(orders[[#This Row],[Order Date]])</f>
        <v>6</v>
      </c>
      <c r="O947" t="str" cm="1">
        <f t="array" ref="O947">_xlfn.IFS(orders[[#This Row],[Customer Gender]] = "M", "Male",orders[[#This Row],[Customer Gender]] = "F", "Female",orders[[#This Row],[Customer Gender]] = "O", "Others",TRUE,"Unknown")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 - orders[[#This Row],[Order Date]]</f>
        <v>6</v>
      </c>
      <c r="N948">
        <f>WEEKNUM(orders[[#This Row],[Order Date]])</f>
        <v>6</v>
      </c>
      <c r="O948" t="str" cm="1">
        <f t="array" ref="O948">_xlfn.IFS(orders[[#This Row],[Customer Gender]] = "M", "Male",orders[[#This Row],[Customer Gender]] = "F", "Female",orders[[#This Row],[Customer Gender]] = "O", "Others",TRUE,"Unknown")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 - orders[[#This Row],[Order Date]]</f>
        <v>1</v>
      </c>
      <c r="N949">
        <f>WEEKNUM(orders[[#This Row],[Order Date]])</f>
        <v>6</v>
      </c>
      <c r="O949" t="str" cm="1">
        <f t="array" ref="O949">_xlfn.IFS(orders[[#This Row],[Customer Gender]] = "M", "Male",orders[[#This Row],[Customer Gender]] = "F", "Female",orders[[#This Row],[Customer Gender]] = "O", "Others",TRUE,"Unknown")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 - orders[[#This Row],[Order Date]]</f>
        <v>6</v>
      </c>
      <c r="N950">
        <f>WEEKNUM(orders[[#This Row],[Order Date]])</f>
        <v>6</v>
      </c>
      <c r="O950" t="str" cm="1">
        <f t="array" ref="O950">_xlfn.IFS(orders[[#This Row],[Customer Gender]] = "M", "Male",orders[[#This Row],[Customer Gender]] = "F", "Female",orders[[#This Row],[Customer Gender]] = "O", "Others",TRUE,"Unknown")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 - orders[[#This Row],[Order Date]]</f>
        <v>2</v>
      </c>
      <c r="N951">
        <f>WEEKNUM(orders[[#This Row],[Order Date]])</f>
        <v>6</v>
      </c>
      <c r="O951" t="str" cm="1">
        <f t="array" ref="O951">_xlfn.IFS(orders[[#This Row],[Customer Gender]] = "M", "Male",orders[[#This Row],[Customer Gender]] = "F", "Female",orders[[#This Row],[Customer Gender]] = "O", "Others",TRUE,"Unknown")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 - orders[[#This Row],[Order Date]]</f>
        <v>4</v>
      </c>
      <c r="N952">
        <f>WEEKNUM(orders[[#This Row],[Order Date]])</f>
        <v>6</v>
      </c>
      <c r="O952" t="str" cm="1">
        <f t="array" ref="O952">_xlfn.IFS(orders[[#This Row],[Customer Gender]] = "M", "Male",orders[[#This Row],[Customer Gender]] = "F", "Female",orders[[#This Row],[Customer Gender]] = "O", "Others",TRUE,"Unknown")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 - orders[[#This Row],[Order Date]]</f>
        <v>4</v>
      </c>
      <c r="N953">
        <f>WEEKNUM(orders[[#This Row],[Order Date]])</f>
        <v>6</v>
      </c>
      <c r="O953" t="str" cm="1">
        <f t="array" ref="O953">_xlfn.IFS(orders[[#This Row],[Customer Gender]] = "M", "Male",orders[[#This Row],[Customer Gender]] = "F", "Female",orders[[#This Row],[Customer Gender]] = "O", "Others",TRUE,"Unknown")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 - orders[[#This Row],[Order Date]]</f>
        <v>4</v>
      </c>
      <c r="N954">
        <f>WEEKNUM(orders[[#This Row],[Order Date]])</f>
        <v>6</v>
      </c>
      <c r="O954" t="str" cm="1">
        <f t="array" ref="O954">_xlfn.IFS(orders[[#This Row],[Customer Gender]] = "M", "Male",orders[[#This Row],[Customer Gender]] = "F", "Female",orders[[#This Row],[Customer Gender]] = "O", "Others",TRUE,"Unknown")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 - orders[[#This Row],[Order Date]]</f>
        <v>3</v>
      </c>
      <c r="N955">
        <f>WEEKNUM(orders[[#This Row],[Order Date]])</f>
        <v>6</v>
      </c>
      <c r="O955" t="str" cm="1">
        <f t="array" ref="O955">_xlfn.IFS(orders[[#This Row],[Customer Gender]] = "M", "Male",orders[[#This Row],[Customer Gender]] = "F", "Female",orders[[#This Row],[Customer Gender]] = "O", "Others",TRUE,"Unknown")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 - orders[[#This Row],[Order Date]]</f>
        <v>1</v>
      </c>
      <c r="N956">
        <f>WEEKNUM(orders[[#This Row],[Order Date]])</f>
        <v>6</v>
      </c>
      <c r="O956" t="str" cm="1">
        <f t="array" ref="O956">_xlfn.IFS(orders[[#This Row],[Customer Gender]] = "M", "Male",orders[[#This Row],[Customer Gender]] = "F", "Female",orders[[#This Row],[Customer Gender]] = "O", "Others",TRUE,"Unknown")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 - orders[[#This Row],[Order Date]]</f>
        <v>2</v>
      </c>
      <c r="N957">
        <f>WEEKNUM(orders[[#This Row],[Order Date]])</f>
        <v>6</v>
      </c>
      <c r="O957" t="str" cm="1">
        <f t="array" ref="O957">_xlfn.IFS(orders[[#This Row],[Customer Gender]] = "M", "Male",orders[[#This Row],[Customer Gender]] = "F", "Female",orders[[#This Row],[Customer Gender]] = "O", "Others",TRUE,"Unknown")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 - orders[[#This Row],[Order Date]]</f>
        <v>1</v>
      </c>
      <c r="N958">
        <f>WEEKNUM(orders[[#This Row],[Order Date]])</f>
        <v>6</v>
      </c>
      <c r="O958" t="str" cm="1">
        <f t="array" ref="O958">_xlfn.IFS(orders[[#This Row],[Customer Gender]] = "M", "Male",orders[[#This Row],[Customer Gender]] = "F", "Female",orders[[#This Row],[Customer Gender]] = "O", "Others",TRUE,"Unknown")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 - orders[[#This Row],[Order Date]]</f>
        <v>0</v>
      </c>
      <c r="N959">
        <f>WEEKNUM(orders[[#This Row],[Order Date]])</f>
        <v>6</v>
      </c>
      <c r="O959" t="str" cm="1">
        <f t="array" ref="O959">_xlfn.IFS(orders[[#This Row],[Customer Gender]] = "M", "Male",orders[[#This Row],[Customer Gender]] = "F", "Female",orders[[#This Row],[Customer Gender]] = "O", "Others",TRUE,"Unknown")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 - orders[[#This Row],[Order Date]]</f>
        <v>1</v>
      </c>
      <c r="N960">
        <f>WEEKNUM(orders[[#This Row],[Order Date]])</f>
        <v>6</v>
      </c>
      <c r="O960" t="str" cm="1">
        <f t="array" ref="O960">_xlfn.IFS(orders[[#This Row],[Customer Gender]] = "M", "Male",orders[[#This Row],[Customer Gender]] = "F", "Female",orders[[#This Row],[Customer Gender]] = "O", "Others",TRUE,"Unknown")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 - orders[[#This Row],[Order Date]]</f>
        <v>2</v>
      </c>
      <c r="N961">
        <f>WEEKNUM(orders[[#This Row],[Order Date]])</f>
        <v>6</v>
      </c>
      <c r="O961" t="str" cm="1">
        <f t="array" ref="O961">_xlfn.IFS(orders[[#This Row],[Customer Gender]] = "M", "Male",orders[[#This Row],[Customer Gender]] = "F", "Female",orders[[#This Row],[Customer Gender]] = "O", "Others",TRUE,"Unknown")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 - orders[[#This Row],[Order Date]]</f>
        <v>0</v>
      </c>
      <c r="N962">
        <f>WEEKNUM(orders[[#This Row],[Order Date]])</f>
        <v>6</v>
      </c>
      <c r="O962" t="str" cm="1">
        <f t="array" ref="O962">_xlfn.IFS(orders[[#This Row],[Customer Gender]] = "M", "Male",orders[[#This Row],[Customer Gender]] = "F", "Female",orders[[#This Row],[Customer Gender]] = "O", "Others",TRUE,"Unknown")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 - orders[[#This Row],[Order Date]]</f>
        <v>4</v>
      </c>
      <c r="N963">
        <f>WEEKNUM(orders[[#This Row],[Order Date]])</f>
        <v>6</v>
      </c>
      <c r="O963" t="str" cm="1">
        <f t="array" ref="O963">_xlfn.IFS(orders[[#This Row],[Customer Gender]] = "M", "Male",orders[[#This Row],[Customer Gender]] = "F", "Female",orders[[#This Row],[Customer Gender]] = "O", "Others",TRUE,"Unknown")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 - orders[[#This Row],[Order Date]]</f>
        <v>3</v>
      </c>
      <c r="N964">
        <f>WEEKNUM(orders[[#This Row],[Order Date]])</f>
        <v>6</v>
      </c>
      <c r="O964" t="str" cm="1">
        <f t="array" ref="O964">_xlfn.IFS(orders[[#This Row],[Customer Gender]] = "M", "Male",orders[[#This Row],[Customer Gender]] = "F", "Female",orders[[#This Row],[Customer Gender]] = "O", "Others",TRUE,"Unknown")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 - orders[[#This Row],[Order Date]]</f>
        <v>1</v>
      </c>
      <c r="N965">
        <f>WEEKNUM(orders[[#This Row],[Order Date]])</f>
        <v>6</v>
      </c>
      <c r="O965" t="str" cm="1">
        <f t="array" ref="O965">_xlfn.IFS(orders[[#This Row],[Customer Gender]] = "M", "Male",orders[[#This Row],[Customer Gender]] = "F", "Female",orders[[#This Row],[Customer Gender]] = "O", "Others",TRUE,"Unknown")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 - orders[[#This Row],[Order Date]]</f>
        <v>4</v>
      </c>
      <c r="N966">
        <f>WEEKNUM(orders[[#This Row],[Order Date]])</f>
        <v>6</v>
      </c>
      <c r="O966" t="str" cm="1">
        <f t="array" ref="O966">_xlfn.IFS(orders[[#This Row],[Customer Gender]] = "M", "Male",orders[[#This Row],[Customer Gender]] = "F", "Female",orders[[#This Row],[Customer Gender]] = "O", "Others",TRUE,"Unknown")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 - orders[[#This Row],[Order Date]]</f>
        <v>3</v>
      </c>
      <c r="N967">
        <f>WEEKNUM(orders[[#This Row],[Order Date]])</f>
        <v>6</v>
      </c>
      <c r="O967" t="str" cm="1">
        <f t="array" ref="O967">_xlfn.IFS(orders[[#This Row],[Customer Gender]] = "M", "Male",orders[[#This Row],[Customer Gender]] = "F", "Female",orders[[#This Row],[Customer Gender]] = "O", "Others",TRUE,"Unknown")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 - orders[[#This Row],[Order Date]]</f>
        <v>1</v>
      </c>
      <c r="N968">
        <f>WEEKNUM(orders[[#This Row],[Order Date]])</f>
        <v>6</v>
      </c>
      <c r="O968" t="str" cm="1">
        <f t="array" ref="O968">_xlfn.IFS(orders[[#This Row],[Customer Gender]] = "M", "Male",orders[[#This Row],[Customer Gender]] = "F", "Female",orders[[#This Row],[Customer Gender]] = "O", "Others",TRUE,"Unknown")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 - orders[[#This Row],[Order Date]]</f>
        <v>4</v>
      </c>
      <c r="N969">
        <f>WEEKNUM(orders[[#This Row],[Order Date]])</f>
        <v>6</v>
      </c>
      <c r="O969" t="str" cm="1">
        <f t="array" ref="O969">_xlfn.IFS(orders[[#This Row],[Customer Gender]] = "M", "Male",orders[[#This Row],[Customer Gender]] = "F", "Female",orders[[#This Row],[Customer Gender]] = "O", "Others",TRUE,"Unknown")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 - orders[[#This Row],[Order Date]]</f>
        <v>1</v>
      </c>
      <c r="N970">
        <f>WEEKNUM(orders[[#This Row],[Order Date]])</f>
        <v>6</v>
      </c>
      <c r="O970" t="str" cm="1">
        <f t="array" ref="O970">_xlfn.IFS(orders[[#This Row],[Customer Gender]] = "M", "Male",orders[[#This Row],[Customer Gender]] = "F", "Female",orders[[#This Row],[Customer Gender]] = "O", "Others",TRUE,"Unknown")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 - orders[[#This Row],[Order Date]]</f>
        <v>1</v>
      </c>
      <c r="N971">
        <f>WEEKNUM(orders[[#This Row],[Order Date]])</f>
        <v>6</v>
      </c>
      <c r="O971" t="str" cm="1">
        <f t="array" ref="O971">_xlfn.IFS(orders[[#This Row],[Customer Gender]] = "M", "Male",orders[[#This Row],[Customer Gender]] = "F", "Female",orders[[#This Row],[Customer Gender]] = "O", "Others",TRUE,"Unknown")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 - orders[[#This Row],[Order Date]]</f>
        <v>2</v>
      </c>
      <c r="N972">
        <f>WEEKNUM(orders[[#This Row],[Order Date]])</f>
        <v>6</v>
      </c>
      <c r="O972" t="str" cm="1">
        <f t="array" ref="O972">_xlfn.IFS(orders[[#This Row],[Customer Gender]] = "M", "Male",orders[[#This Row],[Customer Gender]] = "F", "Female",orders[[#This Row],[Customer Gender]] = "O", "Others",TRUE,"Unknown")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 - orders[[#This Row],[Order Date]]</f>
        <v>1</v>
      </c>
      <c r="N973">
        <f>WEEKNUM(orders[[#This Row],[Order Date]])</f>
        <v>6</v>
      </c>
      <c r="O973" t="str" cm="1">
        <f t="array" ref="O973">_xlfn.IFS(orders[[#This Row],[Customer Gender]] = "M", "Male",orders[[#This Row],[Customer Gender]] = "F", "Female",orders[[#This Row],[Customer Gender]] = "O", "Others",TRUE,"Unknown")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 - orders[[#This Row],[Order Date]]</f>
        <v>2</v>
      </c>
      <c r="N974">
        <f>WEEKNUM(orders[[#This Row],[Order Date]])</f>
        <v>6</v>
      </c>
      <c r="O974" t="str" cm="1">
        <f t="array" ref="O974">_xlfn.IFS(orders[[#This Row],[Customer Gender]] = "M", "Male",orders[[#This Row],[Customer Gender]] = "F", "Female",orders[[#This Row],[Customer Gender]] = "O", "Others",TRUE,"Unknown")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 - orders[[#This Row],[Order Date]]</f>
        <v>1</v>
      </c>
      <c r="N975">
        <f>WEEKNUM(orders[[#This Row],[Order Date]])</f>
        <v>6</v>
      </c>
      <c r="O975" t="str" cm="1">
        <f t="array" ref="O975">_xlfn.IFS(orders[[#This Row],[Customer Gender]] = "M", "Male",orders[[#This Row],[Customer Gender]] = "F", "Female",orders[[#This Row],[Customer Gender]] = "O", "Others",TRUE,"Unknown")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 - orders[[#This Row],[Order Date]]</f>
        <v>6</v>
      </c>
      <c r="N976">
        <f>WEEKNUM(orders[[#This Row],[Order Date]])</f>
        <v>6</v>
      </c>
      <c r="O976" t="str" cm="1">
        <f t="array" ref="O976">_xlfn.IFS(orders[[#This Row],[Customer Gender]] = "M", "Male",orders[[#This Row],[Customer Gender]] = "F", "Female",orders[[#This Row],[Customer Gender]] = "O", "Others",TRUE,"Unknown")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 - orders[[#This Row],[Order Date]]</f>
        <v>2</v>
      </c>
      <c r="N977">
        <f>WEEKNUM(orders[[#This Row],[Order Date]])</f>
        <v>6</v>
      </c>
      <c r="O977" t="str" cm="1">
        <f t="array" ref="O977">_xlfn.IFS(orders[[#This Row],[Customer Gender]] = "M", "Male",orders[[#This Row],[Customer Gender]] = "F", "Female",orders[[#This Row],[Customer Gender]] = "O", "Others",TRUE,"Unknown")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 - orders[[#This Row],[Order Date]]</f>
        <v>1</v>
      </c>
      <c r="N978">
        <f>WEEKNUM(orders[[#This Row],[Order Date]])</f>
        <v>6</v>
      </c>
      <c r="O978" t="str" cm="1">
        <f t="array" ref="O978">_xlfn.IFS(orders[[#This Row],[Customer Gender]] = "M", "Male",orders[[#This Row],[Customer Gender]] = "F", "Female",orders[[#This Row],[Customer Gender]] = "O", "Others",TRUE,"Unknown")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 - orders[[#This Row],[Order Date]]</f>
        <v>3</v>
      </c>
      <c r="N979">
        <f>WEEKNUM(orders[[#This Row],[Order Date]])</f>
        <v>6</v>
      </c>
      <c r="O979" t="str" cm="1">
        <f t="array" ref="O979">_xlfn.IFS(orders[[#This Row],[Customer Gender]] = "M", "Male",orders[[#This Row],[Customer Gender]] = "F", "Female",orders[[#This Row],[Customer Gender]] = "O", "Others",TRUE,"Unknown")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 - orders[[#This Row],[Order Date]]</f>
        <v>4</v>
      </c>
      <c r="N980">
        <f>WEEKNUM(orders[[#This Row],[Order Date]])</f>
        <v>6</v>
      </c>
      <c r="O980" t="str" cm="1">
        <f t="array" ref="O980">_xlfn.IFS(orders[[#This Row],[Customer Gender]] = "M", "Male",orders[[#This Row],[Customer Gender]] = "F", "Female",orders[[#This Row],[Customer Gender]] = "O", "Others",TRUE,"Unknown")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 - orders[[#This Row],[Order Date]]</f>
        <v>5</v>
      </c>
      <c r="N981">
        <f>WEEKNUM(orders[[#This Row],[Order Date]])</f>
        <v>6</v>
      </c>
      <c r="O981" t="str" cm="1">
        <f t="array" ref="O981">_xlfn.IFS(orders[[#This Row],[Customer Gender]] = "M", "Male",orders[[#This Row],[Customer Gender]] = "F", "Female",orders[[#This Row],[Customer Gender]] = "O", "Others",TRUE,"Unknown")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 - orders[[#This Row],[Order Date]]</f>
        <v>5</v>
      </c>
      <c r="N982">
        <f>WEEKNUM(orders[[#This Row],[Order Date]])</f>
        <v>6</v>
      </c>
      <c r="O982" t="str" cm="1">
        <f t="array" ref="O982">_xlfn.IFS(orders[[#This Row],[Customer Gender]] = "M", "Male",orders[[#This Row],[Customer Gender]] = "F", "Female",orders[[#This Row],[Customer Gender]] = "O", "Others",TRUE,"Unknown")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 - orders[[#This Row],[Order Date]]</f>
        <v>3</v>
      </c>
      <c r="N983">
        <f>WEEKNUM(orders[[#This Row],[Order Date]])</f>
        <v>6</v>
      </c>
      <c r="O983" t="str" cm="1">
        <f t="array" ref="O983">_xlfn.IFS(orders[[#This Row],[Customer Gender]] = "M", "Male",orders[[#This Row],[Customer Gender]] = "F", "Female",orders[[#This Row],[Customer Gender]] = "O", "Others",TRUE,"Unknown")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 - orders[[#This Row],[Order Date]]</f>
        <v>1</v>
      </c>
      <c r="N984">
        <f>WEEKNUM(orders[[#This Row],[Order Date]])</f>
        <v>6</v>
      </c>
      <c r="O984" t="str" cm="1">
        <f t="array" ref="O984">_xlfn.IFS(orders[[#This Row],[Customer Gender]] = "M", "Male",orders[[#This Row],[Customer Gender]] = "F", "Female",orders[[#This Row],[Customer Gender]] = "O", "Others",TRUE,"Unknown")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 - orders[[#This Row],[Order Date]]</f>
        <v>1</v>
      </c>
      <c r="N985">
        <f>WEEKNUM(orders[[#This Row],[Order Date]])</f>
        <v>6</v>
      </c>
      <c r="O985" t="str" cm="1">
        <f t="array" ref="O985">_xlfn.IFS(orders[[#This Row],[Customer Gender]] = "M", "Male",orders[[#This Row],[Customer Gender]] = "F", "Female",orders[[#This Row],[Customer Gender]] = "O", "Others",TRUE,"Unknown")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 - orders[[#This Row],[Order Date]]</f>
        <v>4</v>
      </c>
      <c r="N986">
        <f>WEEKNUM(orders[[#This Row],[Order Date]])</f>
        <v>7</v>
      </c>
      <c r="O986" t="str" cm="1">
        <f t="array" ref="O986">_xlfn.IFS(orders[[#This Row],[Customer Gender]] = "M", "Male",orders[[#This Row],[Customer Gender]] = "F", "Female",orders[[#This Row],[Customer Gender]] = "O", "Others",TRUE,"Unknown")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 - orders[[#This Row],[Order Date]]</f>
        <v>1</v>
      </c>
      <c r="N987">
        <f>WEEKNUM(orders[[#This Row],[Order Date]])</f>
        <v>7</v>
      </c>
      <c r="O987" t="str" cm="1">
        <f t="array" ref="O987">_xlfn.IFS(orders[[#This Row],[Customer Gender]] = "M", "Male",orders[[#This Row],[Customer Gender]] = "F", "Female",orders[[#This Row],[Customer Gender]] = "O", "Others",TRUE,"Unknown")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 - orders[[#This Row],[Order Date]]</f>
        <v>2</v>
      </c>
      <c r="N988">
        <f>WEEKNUM(orders[[#This Row],[Order Date]])</f>
        <v>7</v>
      </c>
      <c r="O988" t="str" cm="1">
        <f t="array" ref="O988">_xlfn.IFS(orders[[#This Row],[Customer Gender]] = "M", "Male",orders[[#This Row],[Customer Gender]] = "F", "Female",orders[[#This Row],[Customer Gender]] = "O", "Others",TRUE,"Unknown")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 - orders[[#This Row],[Order Date]]</f>
        <v>3</v>
      </c>
      <c r="N989">
        <f>WEEKNUM(orders[[#This Row],[Order Date]])</f>
        <v>7</v>
      </c>
      <c r="O989" t="str" cm="1">
        <f t="array" ref="O989">_xlfn.IFS(orders[[#This Row],[Customer Gender]] = "M", "Male",orders[[#This Row],[Customer Gender]] = "F", "Female",orders[[#This Row],[Customer Gender]] = "O", "Others",TRUE,"Unknown")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 - orders[[#This Row],[Order Date]]</f>
        <v>4</v>
      </c>
      <c r="N990">
        <f>WEEKNUM(orders[[#This Row],[Order Date]])</f>
        <v>7</v>
      </c>
      <c r="O990" t="str" cm="1">
        <f t="array" ref="O990">_xlfn.IFS(orders[[#This Row],[Customer Gender]] = "M", "Male",orders[[#This Row],[Customer Gender]] = "F", "Female",orders[[#This Row],[Customer Gender]] = "O", "Others",TRUE,"Unknown")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 - orders[[#This Row],[Order Date]]</f>
        <v>1</v>
      </c>
      <c r="N991">
        <f>WEEKNUM(orders[[#This Row],[Order Date]])</f>
        <v>7</v>
      </c>
      <c r="O991" t="str" cm="1">
        <f t="array" ref="O991">_xlfn.IFS(orders[[#This Row],[Customer Gender]] = "M", "Male",orders[[#This Row],[Customer Gender]] = "F", "Female",orders[[#This Row],[Customer Gender]] = "O", "Others",TRUE,"Unknown")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 - orders[[#This Row],[Order Date]]</f>
        <v>6</v>
      </c>
      <c r="N992">
        <f>WEEKNUM(orders[[#This Row],[Order Date]])</f>
        <v>7</v>
      </c>
      <c r="O992" t="str" cm="1">
        <f t="array" ref="O992">_xlfn.IFS(orders[[#This Row],[Customer Gender]] = "M", "Male",orders[[#This Row],[Customer Gender]] = "F", "Female",orders[[#This Row],[Customer Gender]] = "O", "Others",TRUE,"Unknown")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 - orders[[#This Row],[Order Date]]</f>
        <v>1</v>
      </c>
      <c r="N993">
        <f>WEEKNUM(orders[[#This Row],[Order Date]])</f>
        <v>7</v>
      </c>
      <c r="O993" t="str" cm="1">
        <f t="array" ref="O993">_xlfn.IFS(orders[[#This Row],[Customer Gender]] = "M", "Male",orders[[#This Row],[Customer Gender]] = "F", "Female",orders[[#This Row],[Customer Gender]] = "O", "Others",TRUE,"Unknown")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 - orders[[#This Row],[Order Date]]</f>
        <v>1</v>
      </c>
      <c r="N994">
        <f>WEEKNUM(orders[[#This Row],[Order Date]])</f>
        <v>7</v>
      </c>
      <c r="O994" t="str" cm="1">
        <f t="array" ref="O994">_xlfn.IFS(orders[[#This Row],[Customer Gender]] = "M", "Male",orders[[#This Row],[Customer Gender]] = "F", "Female",orders[[#This Row],[Customer Gender]] = "O", "Others",TRUE,"Unknown")</f>
        <v>Others</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 - orders[[#This Row],[Order Date]]</f>
        <v>4</v>
      </c>
      <c r="N995">
        <f>WEEKNUM(orders[[#This Row],[Order Date]])</f>
        <v>7</v>
      </c>
      <c r="O995" t="str" cm="1">
        <f t="array" ref="O995">_xlfn.IFS(orders[[#This Row],[Customer Gender]] = "M", "Male",orders[[#This Row],[Customer Gender]] = "F", "Female",orders[[#This Row],[Customer Gender]] = "O", "Others",TRUE,"Unknown")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 - orders[[#This Row],[Order Date]]</f>
        <v>3</v>
      </c>
      <c r="N996">
        <f>WEEKNUM(orders[[#This Row],[Order Date]])</f>
        <v>7</v>
      </c>
      <c r="O996" t="str" cm="1">
        <f t="array" ref="O996">_xlfn.IFS(orders[[#This Row],[Customer Gender]] = "M", "Male",orders[[#This Row],[Customer Gender]] = "F", "Female",orders[[#This Row],[Customer Gender]] = "O", "Others",TRUE,"Unknown")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 - orders[[#This Row],[Order Date]]</f>
        <v>1</v>
      </c>
      <c r="N997">
        <f>WEEKNUM(orders[[#This Row],[Order Date]])</f>
        <v>7</v>
      </c>
      <c r="O997" t="str" cm="1">
        <f t="array" ref="O997">_xlfn.IFS(orders[[#This Row],[Customer Gender]] = "M", "Male",orders[[#This Row],[Customer Gender]] = "F", "Female",orders[[#This Row],[Customer Gender]] = "O", "Others",TRUE,"Unknown")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 - orders[[#This Row],[Order Date]]</f>
        <v>3</v>
      </c>
      <c r="N998">
        <f>WEEKNUM(orders[[#This Row],[Order Date]])</f>
        <v>7</v>
      </c>
      <c r="O998" t="str" cm="1">
        <f t="array" ref="O998">_xlfn.IFS(orders[[#This Row],[Customer Gender]] = "M", "Male",orders[[#This Row],[Customer Gender]] = "F", "Female",orders[[#This Row],[Customer Gender]] = "O", "Others",TRUE,"Unknown")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 - orders[[#This Row],[Order Date]]</f>
        <v>3</v>
      </c>
      <c r="N999">
        <f>WEEKNUM(orders[[#This Row],[Order Date]])</f>
        <v>7</v>
      </c>
      <c r="O999" t="str" cm="1">
        <f t="array" ref="O999">_xlfn.IFS(orders[[#This Row],[Customer Gender]] = "M", "Male",orders[[#This Row],[Customer Gender]] = "F", "Female",orders[[#This Row],[Customer Gender]] = "O", "Others",TRUE,"Unknown")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 - orders[[#This Row],[Order Date]]</f>
        <v>2</v>
      </c>
      <c r="N1000">
        <f>WEEKNUM(orders[[#This Row],[Order Date]])</f>
        <v>7</v>
      </c>
      <c r="O1000" t="str" cm="1">
        <f t="array" ref="O1000">_xlfn.IFS(orders[[#This Row],[Customer Gender]] = "M", "Male",orders[[#This Row],[Customer Gender]] = "F", "Female",orders[[#This Row],[Customer Gender]] = "O", "Others",TRUE,"Unknown")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 - orders[[#This Row],[Order Date]]</f>
        <v>1</v>
      </c>
      <c r="N1001">
        <f>WEEKNUM(orders[[#This Row],[Order Date]])</f>
        <v>7</v>
      </c>
      <c r="O1001" t="str" cm="1">
        <f t="array" ref="O1001">_xlfn.IFS(orders[[#This Row],[Customer Gender]] = "M", "Male",orders[[#This Row],[Customer Gender]] = "F", "Female",orders[[#This Row],[Customer Gender]] = "O", "Others",TRUE,"Unknown")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 - orders[[#This Row],[Order Date]]</f>
        <v>4</v>
      </c>
      <c r="N1002">
        <f>WEEKNUM(orders[[#This Row],[Order Date]])</f>
        <v>7</v>
      </c>
      <c r="O1002" t="str" cm="1">
        <f t="array" ref="O1002">_xlfn.IFS(orders[[#This Row],[Customer Gender]] = "M", "Male",orders[[#This Row],[Customer Gender]] = "F", "Female",orders[[#This Row],[Customer Gender]] = "O", "Others",TRUE,"Unknown")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 - orders[[#This Row],[Order Date]]</f>
        <v>11</v>
      </c>
      <c r="N1003">
        <f>WEEKNUM(orders[[#This Row],[Order Date]])</f>
        <v>7</v>
      </c>
      <c r="O1003" t="str" cm="1">
        <f t="array" ref="O1003">_xlfn.IFS(orders[[#This Row],[Customer Gender]] = "M", "Male",orders[[#This Row],[Customer Gender]] = "F", "Female",orders[[#This Row],[Customer Gender]] = "O", "Others",TRUE,"Unknown")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 - orders[[#This Row],[Order Date]]</f>
        <v>2</v>
      </c>
      <c r="N1004">
        <f>WEEKNUM(orders[[#This Row],[Order Date]])</f>
        <v>7</v>
      </c>
      <c r="O1004" t="str" cm="1">
        <f t="array" ref="O1004">_xlfn.IFS(orders[[#This Row],[Customer Gender]] = "M", "Male",orders[[#This Row],[Customer Gender]] = "F", "Female",orders[[#This Row],[Customer Gender]] = "O", "Others",TRUE,"Unknown")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 - orders[[#This Row],[Order Date]]</f>
        <v>2</v>
      </c>
      <c r="N1005">
        <f>WEEKNUM(orders[[#This Row],[Order Date]])</f>
        <v>7</v>
      </c>
      <c r="O1005" t="str" cm="1">
        <f t="array" ref="O1005">_xlfn.IFS(orders[[#This Row],[Customer Gender]] = "M", "Male",orders[[#This Row],[Customer Gender]] = "F", "Female",orders[[#This Row],[Customer Gender]] = "O", "Others",TRUE,"Unknown")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 - orders[[#This Row],[Order Date]]</f>
        <v>1</v>
      </c>
      <c r="N1006">
        <f>WEEKNUM(orders[[#This Row],[Order Date]])</f>
        <v>7</v>
      </c>
      <c r="O1006" t="str" cm="1">
        <f t="array" ref="O1006">_xlfn.IFS(orders[[#This Row],[Customer Gender]] = "M", "Male",orders[[#This Row],[Customer Gender]] = "F", "Female",orders[[#This Row],[Customer Gender]] = "O", "Others",TRUE,"Unknown")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 - orders[[#This Row],[Order Date]]</f>
        <v>1</v>
      </c>
      <c r="N1007">
        <f>WEEKNUM(orders[[#This Row],[Order Date]])</f>
        <v>7</v>
      </c>
      <c r="O1007" t="str" cm="1">
        <f t="array" ref="O1007">_xlfn.IFS(orders[[#This Row],[Customer Gender]] = "M", "Male",orders[[#This Row],[Customer Gender]] = "F", "Female",orders[[#This Row],[Customer Gender]] = "O", "Others",TRUE,"Unknown")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 - orders[[#This Row],[Order Date]]</f>
        <v>2</v>
      </c>
      <c r="N1008">
        <f>WEEKNUM(orders[[#This Row],[Order Date]])</f>
        <v>7</v>
      </c>
      <c r="O1008" t="str" cm="1">
        <f t="array" ref="O1008">_xlfn.IFS(orders[[#This Row],[Customer Gender]] = "M", "Male",orders[[#This Row],[Customer Gender]] = "F", "Female",orders[[#This Row],[Customer Gender]] = "O", "Others",TRUE,"Unknown")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 - orders[[#This Row],[Order Date]]</f>
        <v>2</v>
      </c>
      <c r="N1009">
        <f>WEEKNUM(orders[[#This Row],[Order Date]])</f>
        <v>7</v>
      </c>
      <c r="O1009" t="str" cm="1">
        <f t="array" ref="O1009">_xlfn.IFS(orders[[#This Row],[Customer Gender]] = "M", "Male",orders[[#This Row],[Customer Gender]] = "F", "Female",orders[[#This Row],[Customer Gender]] = "O", "Others",TRUE,"Unknown")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 - orders[[#This Row],[Order Date]]</f>
        <v>1</v>
      </c>
      <c r="N1010">
        <f>WEEKNUM(orders[[#This Row],[Order Date]])</f>
        <v>7</v>
      </c>
      <c r="O1010" t="str" cm="1">
        <f t="array" ref="O1010">_xlfn.IFS(orders[[#This Row],[Customer Gender]] = "M", "Male",orders[[#This Row],[Customer Gender]] = "F", "Female",orders[[#This Row],[Customer Gender]] = "O", "Others",TRUE,"Unknown")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 - orders[[#This Row],[Order Date]]</f>
        <v>2</v>
      </c>
      <c r="N1011">
        <f>WEEKNUM(orders[[#This Row],[Order Date]])</f>
        <v>7</v>
      </c>
      <c r="O1011" t="str" cm="1">
        <f t="array" ref="O1011">_xlfn.IFS(orders[[#This Row],[Customer Gender]] = "M", "Male",orders[[#This Row],[Customer Gender]] = "F", "Female",orders[[#This Row],[Customer Gender]] = "O", "Others",TRUE,"Unknown")</f>
        <v>Others</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 - orders[[#This Row],[Order Date]]</f>
        <v>3</v>
      </c>
      <c r="N1012">
        <f>WEEKNUM(orders[[#This Row],[Order Date]])</f>
        <v>7</v>
      </c>
      <c r="O1012" t="str" cm="1">
        <f t="array" ref="O1012">_xlfn.IFS(orders[[#This Row],[Customer Gender]] = "M", "Male",orders[[#This Row],[Customer Gender]] = "F", "Female",orders[[#This Row],[Customer Gender]] = "O", "Others",TRUE,"Unknown")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 - orders[[#This Row],[Order Date]]</f>
        <v>3</v>
      </c>
      <c r="N1013">
        <f>WEEKNUM(orders[[#This Row],[Order Date]])</f>
        <v>7</v>
      </c>
      <c r="O1013" t="str" cm="1">
        <f t="array" ref="O1013">_xlfn.IFS(orders[[#This Row],[Customer Gender]] = "M", "Male",orders[[#This Row],[Customer Gender]] = "F", "Female",orders[[#This Row],[Customer Gender]] = "O", "Others",TRUE,"Unknown")</f>
        <v>Others</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 - orders[[#This Row],[Order Date]]</f>
        <v>2</v>
      </c>
      <c r="N1014">
        <f>WEEKNUM(orders[[#This Row],[Order Date]])</f>
        <v>7</v>
      </c>
      <c r="O1014" t="str" cm="1">
        <f t="array" ref="O1014">_xlfn.IFS(orders[[#This Row],[Customer Gender]] = "M", "Male",orders[[#This Row],[Customer Gender]] = "F", "Female",orders[[#This Row],[Customer Gender]] = "O", "Others",TRUE,"Unknown")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 - orders[[#This Row],[Order Date]]</f>
        <v>2</v>
      </c>
      <c r="N1015">
        <f>WEEKNUM(orders[[#This Row],[Order Date]])</f>
        <v>7</v>
      </c>
      <c r="O1015" t="str" cm="1">
        <f t="array" ref="O1015">_xlfn.IFS(orders[[#This Row],[Customer Gender]] = "M", "Male",orders[[#This Row],[Customer Gender]] = "F", "Female",orders[[#This Row],[Customer Gender]] = "O", "Others",TRUE,"Unknown")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 - orders[[#This Row],[Order Date]]</f>
        <v>3</v>
      </c>
      <c r="N1016">
        <f>WEEKNUM(orders[[#This Row],[Order Date]])</f>
        <v>7</v>
      </c>
      <c r="O1016" t="str" cm="1">
        <f t="array" ref="O1016">_xlfn.IFS(orders[[#This Row],[Customer Gender]] = "M", "Male",orders[[#This Row],[Customer Gender]] = "F", "Female",orders[[#This Row],[Customer Gender]] = "O", "Others",TRUE,"Unknown")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 - orders[[#This Row],[Order Date]]</f>
        <v>1</v>
      </c>
      <c r="N1017">
        <f>WEEKNUM(orders[[#This Row],[Order Date]])</f>
        <v>7</v>
      </c>
      <c r="O1017" t="str" cm="1">
        <f t="array" ref="O1017">_xlfn.IFS(orders[[#This Row],[Customer Gender]] = "M", "Male",orders[[#This Row],[Customer Gender]] = "F", "Female",orders[[#This Row],[Customer Gender]] = "O", "Others",TRUE,"Unknown")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 - orders[[#This Row],[Order Date]]</f>
        <v>1</v>
      </c>
      <c r="N1018">
        <f>WEEKNUM(orders[[#This Row],[Order Date]])</f>
        <v>7</v>
      </c>
      <c r="O1018" t="str" cm="1">
        <f t="array" ref="O1018">_xlfn.IFS(orders[[#This Row],[Customer Gender]] = "M", "Male",orders[[#This Row],[Customer Gender]] = "F", "Female",orders[[#This Row],[Customer Gender]] = "O", "Others",TRUE,"Unknown")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 - orders[[#This Row],[Order Date]]</f>
        <v>1</v>
      </c>
      <c r="N1019">
        <f>WEEKNUM(orders[[#This Row],[Order Date]])</f>
        <v>7</v>
      </c>
      <c r="O1019" t="str" cm="1">
        <f t="array" ref="O1019">_xlfn.IFS(orders[[#This Row],[Customer Gender]] = "M", "Male",orders[[#This Row],[Customer Gender]] = "F", "Female",orders[[#This Row],[Customer Gender]] = "O", "Others",TRUE,"Unknown")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 - orders[[#This Row],[Order Date]]</f>
        <v>2</v>
      </c>
      <c r="N1020">
        <f>WEEKNUM(orders[[#This Row],[Order Date]])</f>
        <v>7</v>
      </c>
      <c r="O1020" t="str" cm="1">
        <f t="array" ref="O1020">_xlfn.IFS(orders[[#This Row],[Customer Gender]] = "M", "Male",orders[[#This Row],[Customer Gender]] = "F", "Female",orders[[#This Row],[Customer Gender]] = "O", "Others",TRUE,"Unknown")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 - orders[[#This Row],[Order Date]]</f>
        <v>4</v>
      </c>
      <c r="N1021">
        <f>WEEKNUM(orders[[#This Row],[Order Date]])</f>
        <v>7</v>
      </c>
      <c r="O1021" t="str" cm="1">
        <f t="array" ref="O1021">_xlfn.IFS(orders[[#This Row],[Customer Gender]] = "M", "Male",orders[[#This Row],[Customer Gender]] = "F", "Female",orders[[#This Row],[Customer Gender]] = "O", "Others",TRUE,"Unknown")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 - orders[[#This Row],[Order Date]]</f>
        <v>7</v>
      </c>
      <c r="N1022">
        <f>WEEKNUM(orders[[#This Row],[Order Date]])</f>
        <v>7</v>
      </c>
      <c r="O1022" t="str" cm="1">
        <f t="array" ref="O1022">_xlfn.IFS(orders[[#This Row],[Customer Gender]] = "M", "Male",orders[[#This Row],[Customer Gender]] = "F", "Female",orders[[#This Row],[Customer Gender]] = "O", "Others",TRUE,"Unknown")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 - orders[[#This Row],[Order Date]]</f>
        <v>2</v>
      </c>
      <c r="N1023">
        <f>WEEKNUM(orders[[#This Row],[Order Date]])</f>
        <v>7</v>
      </c>
      <c r="O1023" t="str" cm="1">
        <f t="array" ref="O1023">_xlfn.IFS(orders[[#This Row],[Customer Gender]] = "M", "Male",orders[[#This Row],[Customer Gender]] = "F", "Female",orders[[#This Row],[Customer Gender]] = "O", "Others",TRUE,"Unknown")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 - orders[[#This Row],[Order Date]]</f>
        <v>2</v>
      </c>
      <c r="N1024">
        <f>WEEKNUM(orders[[#This Row],[Order Date]])</f>
        <v>7</v>
      </c>
      <c r="O1024" t="str" cm="1">
        <f t="array" ref="O1024">_xlfn.IFS(orders[[#This Row],[Customer Gender]] = "M", "Male",orders[[#This Row],[Customer Gender]] = "F", "Female",orders[[#This Row],[Customer Gender]] = "O", "Others",TRUE,"Unknown")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 - orders[[#This Row],[Order Date]]</f>
        <v>0</v>
      </c>
      <c r="N1025">
        <f>WEEKNUM(orders[[#This Row],[Order Date]])</f>
        <v>7</v>
      </c>
      <c r="O1025" t="str" cm="1">
        <f t="array" ref="O1025">_xlfn.IFS(orders[[#This Row],[Customer Gender]] = "M", "Male",orders[[#This Row],[Customer Gender]] = "F", "Female",orders[[#This Row],[Customer Gender]] = "O", "Others",TRUE,"Unknown")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 - orders[[#This Row],[Order Date]]</f>
        <v>1</v>
      </c>
      <c r="N1026">
        <f>WEEKNUM(orders[[#This Row],[Order Date]])</f>
        <v>7</v>
      </c>
      <c r="O1026" t="str" cm="1">
        <f t="array" ref="O1026">_xlfn.IFS(orders[[#This Row],[Customer Gender]] = "M", "Male",orders[[#This Row],[Customer Gender]] = "F", "Female",orders[[#This Row],[Customer Gender]] = "O", "Others",TRUE,"Unknown")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 - orders[[#This Row],[Order Date]]</f>
        <v>4</v>
      </c>
      <c r="N1027">
        <f>WEEKNUM(orders[[#This Row],[Order Date]])</f>
        <v>7</v>
      </c>
      <c r="O1027" t="str" cm="1">
        <f t="array" ref="O1027">_xlfn.IFS(orders[[#This Row],[Customer Gender]] = "M", "Male",orders[[#This Row],[Customer Gender]] = "F", "Female",orders[[#This Row],[Customer Gender]] = "O", "Others",TRUE,"Unknown")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 - orders[[#This Row],[Order Date]]</f>
        <v>3</v>
      </c>
      <c r="N1028">
        <f>WEEKNUM(orders[[#This Row],[Order Date]])</f>
        <v>7</v>
      </c>
      <c r="O1028" t="str" cm="1">
        <f t="array" ref="O1028">_xlfn.IFS(orders[[#This Row],[Customer Gender]] = "M", "Male",orders[[#This Row],[Customer Gender]] = "F", "Female",orders[[#This Row],[Customer Gender]] = "O", "Others",TRUE,"Unknown")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 - orders[[#This Row],[Order Date]]</f>
        <v>5</v>
      </c>
      <c r="N1029">
        <f>WEEKNUM(orders[[#This Row],[Order Date]])</f>
        <v>7</v>
      </c>
      <c r="O1029" t="str" cm="1">
        <f t="array" ref="O1029">_xlfn.IFS(orders[[#This Row],[Customer Gender]] = "M", "Male",orders[[#This Row],[Customer Gender]] = "F", "Female",orders[[#This Row],[Customer Gender]] = "O", "Others",TRUE,"Unknown")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 - orders[[#This Row],[Order Date]]</f>
        <v>5</v>
      </c>
      <c r="N1030">
        <f>WEEKNUM(orders[[#This Row],[Order Date]])</f>
        <v>7</v>
      </c>
      <c r="O1030" t="str" cm="1">
        <f t="array" ref="O1030">_xlfn.IFS(orders[[#This Row],[Customer Gender]] = "M", "Male",orders[[#This Row],[Customer Gender]] = "F", "Female",orders[[#This Row],[Customer Gender]] = "O", "Others",TRUE,"Unknown")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 - orders[[#This Row],[Order Date]]</f>
        <v>1</v>
      </c>
      <c r="N1031">
        <f>WEEKNUM(orders[[#This Row],[Order Date]])</f>
        <v>7</v>
      </c>
      <c r="O1031" t="str" cm="1">
        <f t="array" ref="O1031">_xlfn.IFS(orders[[#This Row],[Customer Gender]] = "M", "Male",orders[[#This Row],[Customer Gender]] = "F", "Female",orders[[#This Row],[Customer Gender]] = "O", "Others",TRUE,"Unknown")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 - orders[[#This Row],[Order Date]]</f>
        <v>1</v>
      </c>
      <c r="N1032">
        <f>WEEKNUM(orders[[#This Row],[Order Date]])</f>
        <v>7</v>
      </c>
      <c r="O1032" t="str" cm="1">
        <f t="array" ref="O1032">_xlfn.IFS(orders[[#This Row],[Customer Gender]] = "M", "Male",orders[[#This Row],[Customer Gender]] = "F", "Female",orders[[#This Row],[Customer Gender]] = "O", "Others",TRUE,"Unknown")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 - orders[[#This Row],[Order Date]]</f>
        <v>7</v>
      </c>
      <c r="N1033">
        <f>WEEKNUM(orders[[#This Row],[Order Date]])</f>
        <v>7</v>
      </c>
      <c r="O1033" t="str" cm="1">
        <f t="array" ref="O1033">_xlfn.IFS(orders[[#This Row],[Customer Gender]] = "M", "Male",orders[[#This Row],[Customer Gender]] = "F", "Female",orders[[#This Row],[Customer Gender]] = "O", "Others",TRUE,"Unknown")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 - orders[[#This Row],[Order Date]]</f>
        <v>4</v>
      </c>
      <c r="N1034">
        <f>WEEKNUM(orders[[#This Row],[Order Date]])</f>
        <v>7</v>
      </c>
      <c r="O1034" t="str" cm="1">
        <f t="array" ref="O1034">_xlfn.IFS(orders[[#This Row],[Customer Gender]] = "M", "Male",orders[[#This Row],[Customer Gender]] = "F", "Female",orders[[#This Row],[Customer Gender]] = "O", "Others",TRUE,"Unknown")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 - orders[[#This Row],[Order Date]]</f>
        <v>4</v>
      </c>
      <c r="N1035">
        <f>WEEKNUM(orders[[#This Row],[Order Date]])</f>
        <v>7</v>
      </c>
      <c r="O1035" t="str" cm="1">
        <f t="array" ref="O1035">_xlfn.IFS(orders[[#This Row],[Customer Gender]] = "M", "Male",orders[[#This Row],[Customer Gender]] = "F", "Female",orders[[#This Row],[Customer Gender]] = "O", "Others",TRUE,"Unknown")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 - orders[[#This Row],[Order Date]]</f>
        <v>1</v>
      </c>
      <c r="N1036">
        <f>WEEKNUM(orders[[#This Row],[Order Date]])</f>
        <v>7</v>
      </c>
      <c r="O1036" t="str" cm="1">
        <f t="array" ref="O1036">_xlfn.IFS(orders[[#This Row],[Customer Gender]] = "M", "Male",orders[[#This Row],[Customer Gender]] = "F", "Female",orders[[#This Row],[Customer Gender]] = "O", "Others",TRUE,"Unknown")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 - orders[[#This Row],[Order Date]]</f>
        <v>1</v>
      </c>
      <c r="N1037">
        <f>WEEKNUM(orders[[#This Row],[Order Date]])</f>
        <v>7</v>
      </c>
      <c r="O1037" t="str" cm="1">
        <f t="array" ref="O1037">_xlfn.IFS(orders[[#This Row],[Customer Gender]] = "M", "Male",orders[[#This Row],[Customer Gender]] = "F", "Female",orders[[#This Row],[Customer Gender]] = "O", "Others",TRUE,"Unknown")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 - orders[[#This Row],[Order Date]]</f>
        <v>1</v>
      </c>
      <c r="N1038">
        <f>WEEKNUM(orders[[#This Row],[Order Date]])</f>
        <v>7</v>
      </c>
      <c r="O1038" t="str" cm="1">
        <f t="array" ref="O1038">_xlfn.IFS(orders[[#This Row],[Customer Gender]] = "M", "Male",orders[[#This Row],[Customer Gender]] = "F", "Female",orders[[#This Row],[Customer Gender]] = "O", "Others",TRUE,"Unknown")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 - orders[[#This Row],[Order Date]]</f>
        <v>3</v>
      </c>
      <c r="N1039">
        <f>WEEKNUM(orders[[#This Row],[Order Date]])</f>
        <v>7</v>
      </c>
      <c r="O1039" t="str" cm="1">
        <f t="array" ref="O1039">_xlfn.IFS(orders[[#This Row],[Customer Gender]] = "M", "Male",orders[[#This Row],[Customer Gender]] = "F", "Female",orders[[#This Row],[Customer Gender]] = "O", "Others",TRUE,"Unknown")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 - orders[[#This Row],[Order Date]]</f>
        <v>2</v>
      </c>
      <c r="N1040">
        <f>WEEKNUM(orders[[#This Row],[Order Date]])</f>
        <v>7</v>
      </c>
      <c r="O1040" t="str" cm="1">
        <f t="array" ref="O1040">_xlfn.IFS(orders[[#This Row],[Customer Gender]] = "M", "Male",orders[[#This Row],[Customer Gender]] = "F", "Female",orders[[#This Row],[Customer Gender]] = "O", "Others",TRUE,"Unknown")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 - orders[[#This Row],[Order Date]]</f>
        <v>2</v>
      </c>
      <c r="N1041">
        <f>WEEKNUM(orders[[#This Row],[Order Date]])</f>
        <v>7</v>
      </c>
      <c r="O1041" t="str" cm="1">
        <f t="array" ref="O1041">_xlfn.IFS(orders[[#This Row],[Customer Gender]] = "M", "Male",orders[[#This Row],[Customer Gender]] = "F", "Female",orders[[#This Row],[Customer Gender]] = "O", "Others",TRUE,"Unknown")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 - orders[[#This Row],[Order Date]]</f>
        <v>1</v>
      </c>
      <c r="N1042">
        <f>WEEKNUM(orders[[#This Row],[Order Date]])</f>
        <v>7</v>
      </c>
      <c r="O1042" t="str" cm="1">
        <f t="array" ref="O1042">_xlfn.IFS(orders[[#This Row],[Customer Gender]] = "M", "Male",orders[[#This Row],[Customer Gender]] = "F", "Female",orders[[#This Row],[Customer Gender]] = "O", "Others",TRUE,"Unknown")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 - orders[[#This Row],[Order Date]]</f>
        <v>7</v>
      </c>
      <c r="N1043">
        <f>WEEKNUM(orders[[#This Row],[Order Date]])</f>
        <v>7</v>
      </c>
      <c r="O1043" t="str" cm="1">
        <f t="array" ref="O1043">_xlfn.IFS(orders[[#This Row],[Customer Gender]] = "M", "Male",orders[[#This Row],[Customer Gender]] = "F", "Female",orders[[#This Row],[Customer Gender]] = "O", "Others",TRUE,"Unknown")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 - orders[[#This Row],[Order Date]]</f>
        <v>1</v>
      </c>
      <c r="N1044">
        <f>WEEKNUM(orders[[#This Row],[Order Date]])</f>
        <v>7</v>
      </c>
      <c r="O1044" t="str" cm="1">
        <f t="array" ref="O1044">_xlfn.IFS(orders[[#This Row],[Customer Gender]] = "M", "Male",orders[[#This Row],[Customer Gender]] = "F", "Female",orders[[#This Row],[Customer Gender]] = "O", "Others",TRUE,"Unknown")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 - orders[[#This Row],[Order Date]]</f>
        <v>1</v>
      </c>
      <c r="N1045">
        <f>WEEKNUM(orders[[#This Row],[Order Date]])</f>
        <v>7</v>
      </c>
      <c r="O1045" t="str" cm="1">
        <f t="array" ref="O1045">_xlfn.IFS(orders[[#This Row],[Customer Gender]] = "M", "Male",orders[[#This Row],[Customer Gender]] = "F", "Female",orders[[#This Row],[Customer Gender]] = "O", "Others",TRUE,"Unknown")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 - orders[[#This Row],[Order Date]]</f>
        <v>1</v>
      </c>
      <c r="N1046">
        <f>WEEKNUM(orders[[#This Row],[Order Date]])</f>
        <v>7</v>
      </c>
      <c r="O1046" t="str" cm="1">
        <f t="array" ref="O1046">_xlfn.IFS(orders[[#This Row],[Customer Gender]] = "M", "Male",orders[[#This Row],[Customer Gender]] = "F", "Female",orders[[#This Row],[Customer Gender]] = "O", "Others",TRUE,"Unknown")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 - orders[[#This Row],[Order Date]]</f>
        <v>8</v>
      </c>
      <c r="N1047">
        <f>WEEKNUM(orders[[#This Row],[Order Date]])</f>
        <v>7</v>
      </c>
      <c r="O1047" t="str" cm="1">
        <f t="array" ref="O1047">_xlfn.IFS(orders[[#This Row],[Customer Gender]] = "M", "Male",orders[[#This Row],[Customer Gender]] = "F", "Female",orders[[#This Row],[Customer Gender]] = "O", "Others",TRUE,"Unknown")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 - orders[[#This Row],[Order Date]]</f>
        <v>2</v>
      </c>
      <c r="N1048">
        <f>WEEKNUM(orders[[#This Row],[Order Date]])</f>
        <v>7</v>
      </c>
      <c r="O1048" t="str" cm="1">
        <f t="array" ref="O1048">_xlfn.IFS(orders[[#This Row],[Customer Gender]] = "M", "Male",orders[[#This Row],[Customer Gender]] = "F", "Female",orders[[#This Row],[Customer Gender]] = "O", "Others",TRUE,"Unknown")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 - orders[[#This Row],[Order Date]]</f>
        <v>0</v>
      </c>
      <c r="N1049">
        <f>WEEKNUM(orders[[#This Row],[Order Date]])</f>
        <v>7</v>
      </c>
      <c r="O1049" t="str" cm="1">
        <f t="array" ref="O1049">_xlfn.IFS(orders[[#This Row],[Customer Gender]] = "M", "Male",orders[[#This Row],[Customer Gender]] = "F", "Female",orders[[#This Row],[Customer Gender]] = "O", "Others",TRUE,"Unknown")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 - orders[[#This Row],[Order Date]]</f>
        <v>4</v>
      </c>
      <c r="N1050">
        <f>WEEKNUM(orders[[#This Row],[Order Date]])</f>
        <v>7</v>
      </c>
      <c r="O1050" t="str" cm="1">
        <f t="array" ref="O1050">_xlfn.IFS(orders[[#This Row],[Customer Gender]] = "M", "Male",orders[[#This Row],[Customer Gender]] = "F", "Female",orders[[#This Row],[Customer Gender]] = "O", "Others",TRUE,"Unknown")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 - orders[[#This Row],[Order Date]]</f>
        <v>2</v>
      </c>
      <c r="N1051">
        <f>WEEKNUM(orders[[#This Row],[Order Date]])</f>
        <v>7</v>
      </c>
      <c r="O1051" t="str" cm="1">
        <f t="array" ref="O1051">_xlfn.IFS(orders[[#This Row],[Customer Gender]] = "M", "Male",orders[[#This Row],[Customer Gender]] = "F", "Female",orders[[#This Row],[Customer Gender]] = "O", "Others",TRUE,"Unknown")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 - orders[[#This Row],[Order Date]]</f>
        <v>3</v>
      </c>
      <c r="N1052">
        <f>WEEKNUM(orders[[#This Row],[Order Date]])</f>
        <v>7</v>
      </c>
      <c r="O1052" t="str" cm="1">
        <f t="array" ref="O1052">_xlfn.IFS(orders[[#This Row],[Customer Gender]] = "M", "Male",orders[[#This Row],[Customer Gender]] = "F", "Female",orders[[#This Row],[Customer Gender]] = "O", "Others",TRUE,"Unknown")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 - orders[[#This Row],[Order Date]]</f>
        <v>1</v>
      </c>
      <c r="N1053">
        <f>WEEKNUM(orders[[#This Row],[Order Date]])</f>
        <v>7</v>
      </c>
      <c r="O1053" t="str" cm="1">
        <f t="array" ref="O1053">_xlfn.IFS(orders[[#This Row],[Customer Gender]] = "M", "Male",orders[[#This Row],[Customer Gender]] = "F", "Female",orders[[#This Row],[Customer Gender]] = "O", "Others",TRUE,"Unknown")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 - orders[[#This Row],[Order Date]]</f>
        <v>1</v>
      </c>
      <c r="N1054">
        <f>WEEKNUM(orders[[#This Row],[Order Date]])</f>
        <v>7</v>
      </c>
      <c r="O1054" t="str" cm="1">
        <f t="array" ref="O1054">_xlfn.IFS(orders[[#This Row],[Customer Gender]] = "M", "Male",orders[[#This Row],[Customer Gender]] = "F", "Female",orders[[#This Row],[Customer Gender]] = "O", "Others",TRUE,"Unknown")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 - orders[[#This Row],[Order Date]]</f>
        <v>1</v>
      </c>
      <c r="N1055">
        <f>WEEKNUM(orders[[#This Row],[Order Date]])</f>
        <v>7</v>
      </c>
      <c r="O1055" t="str" cm="1">
        <f t="array" ref="O1055">_xlfn.IFS(orders[[#This Row],[Customer Gender]] = "M", "Male",orders[[#This Row],[Customer Gender]] = "F", "Female",orders[[#This Row],[Customer Gender]] = "O", "Others",TRUE,"Unknown")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 - orders[[#This Row],[Order Date]]</f>
        <v>4</v>
      </c>
      <c r="N1056">
        <f>WEEKNUM(orders[[#This Row],[Order Date]])</f>
        <v>7</v>
      </c>
      <c r="O1056" t="str" cm="1">
        <f t="array" ref="O1056">_xlfn.IFS(orders[[#This Row],[Customer Gender]] = "M", "Male",orders[[#This Row],[Customer Gender]] = "F", "Female",orders[[#This Row],[Customer Gender]] = "O", "Others",TRUE,"Unknown")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 - orders[[#This Row],[Order Date]]</f>
        <v>2</v>
      </c>
      <c r="N1057">
        <f>WEEKNUM(orders[[#This Row],[Order Date]])</f>
        <v>7</v>
      </c>
      <c r="O1057" t="str" cm="1">
        <f t="array" ref="O1057">_xlfn.IFS(orders[[#This Row],[Customer Gender]] = "M", "Male",orders[[#This Row],[Customer Gender]] = "F", "Female",orders[[#This Row],[Customer Gender]] = "O", "Others",TRUE,"Unknown")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 - orders[[#This Row],[Order Date]]</f>
        <v>3</v>
      </c>
      <c r="N1058">
        <f>WEEKNUM(orders[[#This Row],[Order Date]])</f>
        <v>7</v>
      </c>
      <c r="O1058" t="str" cm="1">
        <f t="array" ref="O1058">_xlfn.IFS(orders[[#This Row],[Customer Gender]] = "M", "Male",orders[[#This Row],[Customer Gender]] = "F", "Female",orders[[#This Row],[Customer Gender]] = "O", "Others",TRUE,"Unknown")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 - orders[[#This Row],[Order Date]]</f>
        <v>3</v>
      </c>
      <c r="N1059">
        <f>WEEKNUM(orders[[#This Row],[Order Date]])</f>
        <v>7</v>
      </c>
      <c r="O1059" t="str" cm="1">
        <f t="array" ref="O1059">_xlfn.IFS(orders[[#This Row],[Customer Gender]] = "M", "Male",orders[[#This Row],[Customer Gender]] = "F", "Female",orders[[#This Row],[Customer Gender]] = "O", "Others",TRUE,"Unknown")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 - orders[[#This Row],[Order Date]]</f>
        <v>1</v>
      </c>
      <c r="N1060">
        <f>WEEKNUM(orders[[#This Row],[Order Date]])</f>
        <v>7</v>
      </c>
      <c r="O1060" t="str" cm="1">
        <f t="array" ref="O1060">_xlfn.IFS(orders[[#This Row],[Customer Gender]] = "M", "Male",orders[[#This Row],[Customer Gender]] = "F", "Female",orders[[#This Row],[Customer Gender]] = "O", "Others",TRUE,"Unknown")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 - orders[[#This Row],[Order Date]]</f>
        <v>1</v>
      </c>
      <c r="N1061">
        <f>WEEKNUM(orders[[#This Row],[Order Date]])</f>
        <v>7</v>
      </c>
      <c r="O1061" t="str" cm="1">
        <f t="array" ref="O1061">_xlfn.IFS(orders[[#This Row],[Customer Gender]] = "M", "Male",orders[[#This Row],[Customer Gender]] = "F", "Female",orders[[#This Row],[Customer Gender]] = "O", "Others",TRUE,"Unknown")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 - orders[[#This Row],[Order Date]]</f>
        <v>2</v>
      </c>
      <c r="N1062">
        <f>WEEKNUM(orders[[#This Row],[Order Date]])</f>
        <v>7</v>
      </c>
      <c r="O1062" t="str" cm="1">
        <f t="array" ref="O1062">_xlfn.IFS(orders[[#This Row],[Customer Gender]] = "M", "Male",orders[[#This Row],[Customer Gender]] = "F", "Female",orders[[#This Row],[Customer Gender]] = "O", "Others",TRUE,"Unknown")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 - orders[[#This Row],[Order Date]]</f>
        <v>1</v>
      </c>
      <c r="N1063">
        <f>WEEKNUM(orders[[#This Row],[Order Date]])</f>
        <v>7</v>
      </c>
      <c r="O1063" t="str" cm="1">
        <f t="array" ref="O1063">_xlfn.IFS(orders[[#This Row],[Customer Gender]] = "M", "Male",orders[[#This Row],[Customer Gender]] = "F", "Female",orders[[#This Row],[Customer Gender]] = "O", "Others",TRUE,"Unknown")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 - orders[[#This Row],[Order Date]]</f>
        <v>2</v>
      </c>
      <c r="N1064">
        <f>WEEKNUM(orders[[#This Row],[Order Date]])</f>
        <v>7</v>
      </c>
      <c r="O1064" t="str" cm="1">
        <f t="array" ref="O1064">_xlfn.IFS(orders[[#This Row],[Customer Gender]] = "M", "Male",orders[[#This Row],[Customer Gender]] = "F", "Female",orders[[#This Row],[Customer Gender]] = "O", "Others",TRUE,"Unknown")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 - orders[[#This Row],[Order Date]]</f>
        <v>2</v>
      </c>
      <c r="N1065">
        <f>WEEKNUM(orders[[#This Row],[Order Date]])</f>
        <v>7</v>
      </c>
      <c r="O1065" t="str" cm="1">
        <f t="array" ref="O1065">_xlfn.IFS(orders[[#This Row],[Customer Gender]] = "M", "Male",orders[[#This Row],[Customer Gender]] = "F", "Female",orders[[#This Row],[Customer Gender]] = "O", "Others",TRUE,"Unknown")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 - orders[[#This Row],[Order Date]]</f>
        <v>2</v>
      </c>
      <c r="N1066">
        <f>WEEKNUM(orders[[#This Row],[Order Date]])</f>
        <v>7</v>
      </c>
      <c r="O1066" t="str" cm="1">
        <f t="array" ref="O1066">_xlfn.IFS(orders[[#This Row],[Customer Gender]] = "M", "Male",orders[[#This Row],[Customer Gender]] = "F", "Female",orders[[#This Row],[Customer Gender]] = "O", "Others",TRUE,"Unknown")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 - orders[[#This Row],[Order Date]]</f>
        <v>0</v>
      </c>
      <c r="N1067">
        <f>WEEKNUM(orders[[#This Row],[Order Date]])</f>
        <v>7</v>
      </c>
      <c r="O1067" t="str" cm="1">
        <f t="array" ref="O1067">_xlfn.IFS(orders[[#This Row],[Customer Gender]] = "M", "Male",orders[[#This Row],[Customer Gender]] = "F", "Female",orders[[#This Row],[Customer Gender]] = "O", "Others",TRUE,"Unknown")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 - orders[[#This Row],[Order Date]]</f>
        <v>3</v>
      </c>
      <c r="N1068">
        <f>WEEKNUM(orders[[#This Row],[Order Date]])</f>
        <v>7</v>
      </c>
      <c r="O1068" t="str" cm="1">
        <f t="array" ref="O1068">_xlfn.IFS(orders[[#This Row],[Customer Gender]] = "M", "Male",orders[[#This Row],[Customer Gender]] = "F", "Female",orders[[#This Row],[Customer Gender]] = "O", "Others",TRUE,"Unknown")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 - orders[[#This Row],[Order Date]]</f>
        <v>3</v>
      </c>
      <c r="N1069">
        <f>WEEKNUM(orders[[#This Row],[Order Date]])</f>
        <v>7</v>
      </c>
      <c r="O1069" t="str" cm="1">
        <f t="array" ref="O1069">_xlfn.IFS(orders[[#This Row],[Customer Gender]] = "M", "Male",orders[[#This Row],[Customer Gender]] = "F", "Female",orders[[#This Row],[Customer Gender]] = "O", "Others",TRUE,"Unknown")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 - orders[[#This Row],[Order Date]]</f>
        <v>8</v>
      </c>
      <c r="N1070">
        <f>WEEKNUM(orders[[#This Row],[Order Date]])</f>
        <v>7</v>
      </c>
      <c r="O1070" t="str" cm="1">
        <f t="array" ref="O1070">_xlfn.IFS(orders[[#This Row],[Customer Gender]] = "M", "Male",orders[[#This Row],[Customer Gender]] = "F", "Female",orders[[#This Row],[Customer Gender]] = "O", "Others",TRUE,"Unknown")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 - orders[[#This Row],[Order Date]]</f>
        <v>2</v>
      </c>
      <c r="N1071">
        <f>WEEKNUM(orders[[#This Row],[Order Date]])</f>
        <v>7</v>
      </c>
      <c r="O1071" t="str" cm="1">
        <f t="array" ref="O1071">_xlfn.IFS(orders[[#This Row],[Customer Gender]] = "M", "Male",orders[[#This Row],[Customer Gender]] = "F", "Female",orders[[#This Row],[Customer Gender]] = "O", "Others",TRUE,"Unknown")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 - orders[[#This Row],[Order Date]]</f>
        <v>2</v>
      </c>
      <c r="N1072">
        <f>WEEKNUM(orders[[#This Row],[Order Date]])</f>
        <v>7</v>
      </c>
      <c r="O1072" t="str" cm="1">
        <f t="array" ref="O1072">_xlfn.IFS(orders[[#This Row],[Customer Gender]] = "M", "Male",orders[[#This Row],[Customer Gender]] = "F", "Female",orders[[#This Row],[Customer Gender]] = "O", "Others",TRUE,"Unknown")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 - orders[[#This Row],[Order Date]]</f>
        <v>3</v>
      </c>
      <c r="N1073">
        <f>WEEKNUM(orders[[#This Row],[Order Date]])</f>
        <v>7</v>
      </c>
      <c r="O1073" t="str" cm="1">
        <f t="array" ref="O1073">_xlfn.IFS(orders[[#This Row],[Customer Gender]] = "M", "Male",orders[[#This Row],[Customer Gender]] = "F", "Female",orders[[#This Row],[Customer Gender]] = "O", "Others",TRUE,"Unknown")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 - orders[[#This Row],[Order Date]]</f>
        <v>3</v>
      </c>
      <c r="N1074">
        <f>WEEKNUM(orders[[#This Row],[Order Date]])</f>
        <v>7</v>
      </c>
      <c r="O1074" t="str" cm="1">
        <f t="array" ref="O1074">_xlfn.IFS(orders[[#This Row],[Customer Gender]] = "M", "Male",orders[[#This Row],[Customer Gender]] = "F", "Female",orders[[#This Row],[Customer Gender]] = "O", "Others",TRUE,"Unknown")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 - orders[[#This Row],[Order Date]]</f>
        <v>14</v>
      </c>
      <c r="N1075">
        <f>WEEKNUM(orders[[#This Row],[Order Date]])</f>
        <v>7</v>
      </c>
      <c r="O1075" t="str" cm="1">
        <f t="array" ref="O1075">_xlfn.IFS(orders[[#This Row],[Customer Gender]] = "M", "Male",orders[[#This Row],[Customer Gender]] = "F", "Female",orders[[#This Row],[Customer Gender]] = "O", "Others",TRUE,"Unknown")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 - orders[[#This Row],[Order Date]]</f>
        <v>0</v>
      </c>
      <c r="N1076">
        <f>WEEKNUM(orders[[#This Row],[Order Date]])</f>
        <v>7</v>
      </c>
      <c r="O1076" t="str" cm="1">
        <f t="array" ref="O1076">_xlfn.IFS(orders[[#This Row],[Customer Gender]] = "M", "Male",orders[[#This Row],[Customer Gender]] = "F", "Female",orders[[#This Row],[Customer Gender]] = "O", "Others",TRUE,"Unknown")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 - orders[[#This Row],[Order Date]]</f>
        <v>1</v>
      </c>
      <c r="N1077">
        <f>WEEKNUM(orders[[#This Row],[Order Date]])</f>
        <v>7</v>
      </c>
      <c r="O1077" t="str" cm="1">
        <f t="array" ref="O1077">_xlfn.IFS(orders[[#This Row],[Customer Gender]] = "M", "Male",orders[[#This Row],[Customer Gender]] = "F", "Female",orders[[#This Row],[Customer Gender]] = "O", "Others",TRUE,"Unknown")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 - orders[[#This Row],[Order Date]]</f>
        <v>1</v>
      </c>
      <c r="N1078">
        <f>WEEKNUM(orders[[#This Row],[Order Date]])</f>
        <v>7</v>
      </c>
      <c r="O1078" t="str" cm="1">
        <f t="array" ref="O1078">_xlfn.IFS(orders[[#This Row],[Customer Gender]] = "M", "Male",orders[[#This Row],[Customer Gender]] = "F", "Female",orders[[#This Row],[Customer Gender]] = "O", "Others",TRUE,"Unknown")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 - orders[[#This Row],[Order Date]]</f>
        <v>5</v>
      </c>
      <c r="N1079">
        <f>WEEKNUM(orders[[#This Row],[Order Date]])</f>
        <v>7</v>
      </c>
      <c r="O1079" t="str" cm="1">
        <f t="array" ref="O1079">_xlfn.IFS(orders[[#This Row],[Customer Gender]] = "M", "Male",orders[[#This Row],[Customer Gender]] = "F", "Female",orders[[#This Row],[Customer Gender]] = "O", "Others",TRUE,"Unknown")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 - orders[[#This Row],[Order Date]]</f>
        <v>0</v>
      </c>
      <c r="N1080">
        <f>WEEKNUM(orders[[#This Row],[Order Date]])</f>
        <v>7</v>
      </c>
      <c r="O1080" t="str" cm="1">
        <f t="array" ref="O1080">_xlfn.IFS(orders[[#This Row],[Customer Gender]] = "M", "Male",orders[[#This Row],[Customer Gender]] = "F", "Female",orders[[#This Row],[Customer Gender]] = "O", "Others",TRUE,"Unknown")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 - orders[[#This Row],[Order Date]]</f>
        <v>1</v>
      </c>
      <c r="N1081">
        <f>WEEKNUM(orders[[#This Row],[Order Date]])</f>
        <v>7</v>
      </c>
      <c r="O1081" t="str" cm="1">
        <f t="array" ref="O1081">_xlfn.IFS(orders[[#This Row],[Customer Gender]] = "M", "Male",orders[[#This Row],[Customer Gender]] = "F", "Female",orders[[#This Row],[Customer Gender]] = "O", "Others",TRUE,"Unknown")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 - orders[[#This Row],[Order Date]]</f>
        <v>2</v>
      </c>
      <c r="N1082">
        <f>WEEKNUM(orders[[#This Row],[Order Date]])</f>
        <v>7</v>
      </c>
      <c r="O1082" t="str" cm="1">
        <f t="array" ref="O1082">_xlfn.IFS(orders[[#This Row],[Customer Gender]] = "M", "Male",orders[[#This Row],[Customer Gender]] = "F", "Female",orders[[#This Row],[Customer Gender]] = "O", "Others",TRUE,"Unknown")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 - orders[[#This Row],[Order Date]]</f>
        <v>2</v>
      </c>
      <c r="N1083">
        <f>WEEKNUM(orders[[#This Row],[Order Date]])</f>
        <v>7</v>
      </c>
      <c r="O1083" t="str" cm="1">
        <f t="array" ref="O1083">_xlfn.IFS(orders[[#This Row],[Customer Gender]] = "M", "Male",orders[[#This Row],[Customer Gender]] = "F", "Female",orders[[#This Row],[Customer Gender]] = "O", "Others",TRUE,"Unknown")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 - orders[[#This Row],[Order Date]]</f>
        <v>2</v>
      </c>
      <c r="N1084">
        <f>WEEKNUM(orders[[#This Row],[Order Date]])</f>
        <v>7</v>
      </c>
      <c r="O1084" t="str" cm="1">
        <f t="array" ref="O1084">_xlfn.IFS(orders[[#This Row],[Customer Gender]] = "M", "Male",orders[[#This Row],[Customer Gender]] = "F", "Female",orders[[#This Row],[Customer Gender]] = "O", "Others",TRUE,"Unknown")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 - orders[[#This Row],[Order Date]]</f>
        <v>1</v>
      </c>
      <c r="N1085">
        <f>WEEKNUM(orders[[#This Row],[Order Date]])</f>
        <v>7</v>
      </c>
      <c r="O1085" t="str" cm="1">
        <f t="array" ref="O1085">_xlfn.IFS(orders[[#This Row],[Customer Gender]] = "M", "Male",orders[[#This Row],[Customer Gender]] = "F", "Female",orders[[#This Row],[Customer Gender]] = "O", "Others",TRUE,"Unknown")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 - orders[[#This Row],[Order Date]]</f>
        <v>1</v>
      </c>
      <c r="N1086">
        <f>WEEKNUM(orders[[#This Row],[Order Date]])</f>
        <v>7</v>
      </c>
      <c r="O1086" t="str" cm="1">
        <f t="array" ref="O1086">_xlfn.IFS(orders[[#This Row],[Customer Gender]] = "M", "Male",orders[[#This Row],[Customer Gender]] = "F", "Female",orders[[#This Row],[Customer Gender]] = "O", "Others",TRUE,"Unknown")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 - orders[[#This Row],[Order Date]]</f>
        <v>2</v>
      </c>
      <c r="N1087">
        <f>WEEKNUM(orders[[#This Row],[Order Date]])</f>
        <v>7</v>
      </c>
      <c r="O1087" t="str" cm="1">
        <f t="array" ref="O1087">_xlfn.IFS(orders[[#This Row],[Customer Gender]] = "M", "Male",orders[[#This Row],[Customer Gender]] = "F", "Female",orders[[#This Row],[Customer Gender]] = "O", "Others",TRUE,"Unknown")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 - orders[[#This Row],[Order Date]]</f>
        <v>2</v>
      </c>
      <c r="N1088">
        <f>WEEKNUM(orders[[#This Row],[Order Date]])</f>
        <v>7</v>
      </c>
      <c r="O1088" t="str" cm="1">
        <f t="array" ref="O1088">_xlfn.IFS(orders[[#This Row],[Customer Gender]] = "M", "Male",orders[[#This Row],[Customer Gender]] = "F", "Female",orders[[#This Row],[Customer Gender]] = "O", "Others",TRUE,"Unknown")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 - orders[[#This Row],[Order Date]]</f>
        <v>3</v>
      </c>
      <c r="N1089">
        <f>WEEKNUM(orders[[#This Row],[Order Date]])</f>
        <v>7</v>
      </c>
      <c r="O1089" t="str" cm="1">
        <f t="array" ref="O1089">_xlfn.IFS(orders[[#This Row],[Customer Gender]] = "M", "Male",orders[[#This Row],[Customer Gender]] = "F", "Female",orders[[#This Row],[Customer Gender]] = "O", "Others",TRUE,"Unknown")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 - orders[[#This Row],[Order Date]]</f>
        <v>2</v>
      </c>
      <c r="N1090">
        <f>WEEKNUM(orders[[#This Row],[Order Date]])</f>
        <v>7</v>
      </c>
      <c r="O1090" t="str" cm="1">
        <f t="array" ref="O1090">_xlfn.IFS(orders[[#This Row],[Customer Gender]] = "M", "Male",orders[[#This Row],[Customer Gender]] = "F", "Female",orders[[#This Row],[Customer Gender]] = "O", "Others",TRUE,"Unknown")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 - orders[[#This Row],[Order Date]]</f>
        <v>2</v>
      </c>
      <c r="N1091">
        <f>WEEKNUM(orders[[#This Row],[Order Date]])</f>
        <v>7</v>
      </c>
      <c r="O1091" t="str" cm="1">
        <f t="array" ref="O1091">_xlfn.IFS(orders[[#This Row],[Customer Gender]] = "M", "Male",orders[[#This Row],[Customer Gender]] = "F", "Female",orders[[#This Row],[Customer Gender]] = "O", "Others",TRUE,"Unknown")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 - orders[[#This Row],[Order Date]]</f>
        <v>1</v>
      </c>
      <c r="N1092">
        <f>WEEKNUM(orders[[#This Row],[Order Date]])</f>
        <v>7</v>
      </c>
      <c r="O1092" t="str" cm="1">
        <f t="array" ref="O1092">_xlfn.IFS(orders[[#This Row],[Customer Gender]] = "M", "Male",orders[[#This Row],[Customer Gender]] = "F", "Female",orders[[#This Row],[Customer Gender]] = "O", "Others",TRUE,"Unknown")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 - orders[[#This Row],[Order Date]]</f>
        <v>1</v>
      </c>
      <c r="N1093">
        <f>WEEKNUM(orders[[#This Row],[Order Date]])</f>
        <v>7</v>
      </c>
      <c r="O1093" t="str" cm="1">
        <f t="array" ref="O1093">_xlfn.IFS(orders[[#This Row],[Customer Gender]] = "M", "Male",orders[[#This Row],[Customer Gender]] = "F", "Female",orders[[#This Row],[Customer Gender]] = "O", "Others",TRUE,"Unknown")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 - orders[[#This Row],[Order Date]]</f>
        <v>5</v>
      </c>
      <c r="N1094">
        <f>WEEKNUM(orders[[#This Row],[Order Date]])</f>
        <v>7</v>
      </c>
      <c r="O1094" t="str" cm="1">
        <f t="array" ref="O1094">_xlfn.IFS(orders[[#This Row],[Customer Gender]] = "M", "Male",orders[[#This Row],[Customer Gender]] = "F", "Female",orders[[#This Row],[Customer Gender]] = "O", "Others",TRUE,"Unknown")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 - orders[[#This Row],[Order Date]]</f>
        <v>14</v>
      </c>
      <c r="N1095">
        <f>WEEKNUM(orders[[#This Row],[Order Date]])</f>
        <v>7</v>
      </c>
      <c r="O1095" t="str" cm="1">
        <f t="array" ref="O1095">_xlfn.IFS(orders[[#This Row],[Customer Gender]] = "M", "Male",orders[[#This Row],[Customer Gender]] = "F", "Female",orders[[#This Row],[Customer Gender]] = "O", "Others",TRUE,"Unknown")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 - orders[[#This Row],[Order Date]]</f>
        <v>2</v>
      </c>
      <c r="N1096">
        <f>WEEKNUM(orders[[#This Row],[Order Date]])</f>
        <v>7</v>
      </c>
      <c r="O1096" t="str" cm="1">
        <f t="array" ref="O1096">_xlfn.IFS(orders[[#This Row],[Customer Gender]] = "M", "Male",orders[[#This Row],[Customer Gender]] = "F", "Female",orders[[#This Row],[Customer Gender]] = "O", "Others",TRUE,"Unknown")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 - orders[[#This Row],[Order Date]]</f>
        <v>3</v>
      </c>
      <c r="N1097">
        <f>WEEKNUM(orders[[#This Row],[Order Date]])</f>
        <v>7</v>
      </c>
      <c r="O1097" t="str" cm="1">
        <f t="array" ref="O1097">_xlfn.IFS(orders[[#This Row],[Customer Gender]] = "M", "Male",orders[[#This Row],[Customer Gender]] = "F", "Female",orders[[#This Row],[Customer Gender]] = "O", "Others",TRUE,"Unknown")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 - orders[[#This Row],[Order Date]]</f>
        <v>1</v>
      </c>
      <c r="N1098">
        <f>WEEKNUM(orders[[#This Row],[Order Date]])</f>
        <v>7</v>
      </c>
      <c r="O1098" t="str" cm="1">
        <f t="array" ref="O1098">_xlfn.IFS(orders[[#This Row],[Customer Gender]] = "M", "Male",orders[[#This Row],[Customer Gender]] = "F", "Female",orders[[#This Row],[Customer Gender]] = "O", "Others",TRUE,"Unknown")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 - orders[[#This Row],[Order Date]]</f>
        <v>1</v>
      </c>
      <c r="N1099">
        <f>WEEKNUM(orders[[#This Row],[Order Date]])</f>
        <v>7</v>
      </c>
      <c r="O1099" t="str" cm="1">
        <f t="array" ref="O1099">_xlfn.IFS(orders[[#This Row],[Customer Gender]] = "M", "Male",orders[[#This Row],[Customer Gender]] = "F", "Female",orders[[#This Row],[Customer Gender]] = "O", "Others",TRUE,"Unknown")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 - orders[[#This Row],[Order Date]]</f>
        <v>2</v>
      </c>
      <c r="N1100">
        <f>WEEKNUM(orders[[#This Row],[Order Date]])</f>
        <v>7</v>
      </c>
      <c r="O1100" t="str" cm="1">
        <f t="array" ref="O1100">_xlfn.IFS(orders[[#This Row],[Customer Gender]] = "M", "Male",orders[[#This Row],[Customer Gender]] = "F", "Female",orders[[#This Row],[Customer Gender]] = "O", "Others",TRUE,"Unknown")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 - orders[[#This Row],[Order Date]]</f>
        <v>1</v>
      </c>
      <c r="N1101">
        <f>WEEKNUM(orders[[#This Row],[Order Date]])</f>
        <v>7</v>
      </c>
      <c r="O1101" t="str" cm="1">
        <f t="array" ref="O1101">_xlfn.IFS(orders[[#This Row],[Customer Gender]] = "M", "Male",orders[[#This Row],[Customer Gender]] = "F", "Female",orders[[#This Row],[Customer Gender]] = "O", "Others",TRUE,"Unknown")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 - orders[[#This Row],[Order Date]]</f>
        <v>3</v>
      </c>
      <c r="N1102">
        <f>WEEKNUM(orders[[#This Row],[Order Date]])</f>
        <v>7</v>
      </c>
      <c r="O1102" t="str" cm="1">
        <f t="array" ref="O1102">_xlfn.IFS(orders[[#This Row],[Customer Gender]] = "M", "Male",orders[[#This Row],[Customer Gender]] = "F", "Female",orders[[#This Row],[Customer Gender]] = "O", "Others",TRUE,"Unknown")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 - orders[[#This Row],[Order Date]]</f>
        <v>2</v>
      </c>
      <c r="N1103">
        <f>WEEKNUM(orders[[#This Row],[Order Date]])</f>
        <v>7</v>
      </c>
      <c r="O1103" t="str" cm="1">
        <f t="array" ref="O1103">_xlfn.IFS(orders[[#This Row],[Customer Gender]] = "M", "Male",orders[[#This Row],[Customer Gender]] = "F", "Female",orders[[#This Row],[Customer Gender]] = "O", "Others",TRUE,"Unknown")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 - orders[[#This Row],[Order Date]]</f>
        <v>1</v>
      </c>
      <c r="N1104">
        <f>WEEKNUM(orders[[#This Row],[Order Date]])</f>
        <v>7</v>
      </c>
      <c r="O1104" t="str" cm="1">
        <f t="array" ref="O1104">_xlfn.IFS(orders[[#This Row],[Customer Gender]] = "M", "Male",orders[[#This Row],[Customer Gender]] = "F", "Female",orders[[#This Row],[Customer Gender]] = "O", "Others",TRUE,"Unknown")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 - orders[[#This Row],[Order Date]]</f>
        <v>0</v>
      </c>
      <c r="N1105">
        <f>WEEKNUM(orders[[#This Row],[Order Date]])</f>
        <v>7</v>
      </c>
      <c r="O1105" t="str" cm="1">
        <f t="array" ref="O1105">_xlfn.IFS(orders[[#This Row],[Customer Gender]] = "M", "Male",orders[[#This Row],[Customer Gender]] = "F", "Female",orders[[#This Row],[Customer Gender]] = "O", "Others",TRUE,"Unknown")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 - orders[[#This Row],[Order Date]]</f>
        <v>3</v>
      </c>
      <c r="N1106">
        <f>WEEKNUM(orders[[#This Row],[Order Date]])</f>
        <v>7</v>
      </c>
      <c r="O1106" t="str" cm="1">
        <f t="array" ref="O1106">_xlfn.IFS(orders[[#This Row],[Customer Gender]] = "M", "Male",orders[[#This Row],[Customer Gender]] = "F", "Female",orders[[#This Row],[Customer Gender]] = "O", "Others",TRUE,"Unknown")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 - orders[[#This Row],[Order Date]]</f>
        <v>1</v>
      </c>
      <c r="N1107">
        <f>WEEKNUM(orders[[#This Row],[Order Date]])</f>
        <v>7</v>
      </c>
      <c r="O1107" t="str" cm="1">
        <f t="array" ref="O1107">_xlfn.IFS(orders[[#This Row],[Customer Gender]] = "M", "Male",orders[[#This Row],[Customer Gender]] = "F", "Female",orders[[#This Row],[Customer Gender]] = "O", "Others",TRUE,"Unknown")</f>
        <v>Others</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 - orders[[#This Row],[Order Date]]</f>
        <v>1</v>
      </c>
      <c r="N1108">
        <f>WEEKNUM(orders[[#This Row],[Order Date]])</f>
        <v>7</v>
      </c>
      <c r="O1108" t="str" cm="1">
        <f t="array" ref="O1108">_xlfn.IFS(orders[[#This Row],[Customer Gender]] = "M", "Male",orders[[#This Row],[Customer Gender]] = "F", "Female",orders[[#This Row],[Customer Gender]] = "O", "Others",TRUE,"Unknown")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 - orders[[#This Row],[Order Date]]</f>
        <v>5</v>
      </c>
      <c r="N1109">
        <f>WEEKNUM(orders[[#This Row],[Order Date]])</f>
        <v>7</v>
      </c>
      <c r="O1109" t="str" cm="1">
        <f t="array" ref="O1109">_xlfn.IFS(orders[[#This Row],[Customer Gender]] = "M", "Male",orders[[#This Row],[Customer Gender]] = "F", "Female",orders[[#This Row],[Customer Gender]] = "O", "Others",TRUE,"Unknown")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 - orders[[#This Row],[Order Date]]</f>
        <v>1</v>
      </c>
      <c r="N1110">
        <f>WEEKNUM(orders[[#This Row],[Order Date]])</f>
        <v>7</v>
      </c>
      <c r="O1110" t="str" cm="1">
        <f t="array" ref="O1110">_xlfn.IFS(orders[[#This Row],[Customer Gender]] = "M", "Male",orders[[#This Row],[Customer Gender]] = "F", "Female",orders[[#This Row],[Customer Gender]] = "O", "Others",TRUE,"Unknown")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 - orders[[#This Row],[Order Date]]</f>
        <v>3</v>
      </c>
      <c r="N1111">
        <f>WEEKNUM(orders[[#This Row],[Order Date]])</f>
        <v>7</v>
      </c>
      <c r="O1111" t="str" cm="1">
        <f t="array" ref="O1111">_xlfn.IFS(orders[[#This Row],[Customer Gender]] = "M", "Male",orders[[#This Row],[Customer Gender]] = "F", "Female",orders[[#This Row],[Customer Gender]] = "O", "Others",TRUE,"Unknown")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 - orders[[#This Row],[Order Date]]</f>
        <v>2</v>
      </c>
      <c r="N1112">
        <f>WEEKNUM(orders[[#This Row],[Order Date]])</f>
        <v>7</v>
      </c>
      <c r="O1112" t="str" cm="1">
        <f t="array" ref="O1112">_xlfn.IFS(orders[[#This Row],[Customer Gender]] = "M", "Male",orders[[#This Row],[Customer Gender]] = "F", "Female",orders[[#This Row],[Customer Gender]] = "O", "Others",TRUE,"Unknown")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 - orders[[#This Row],[Order Date]]</f>
        <v>3</v>
      </c>
      <c r="N1113">
        <f>WEEKNUM(orders[[#This Row],[Order Date]])</f>
        <v>7</v>
      </c>
      <c r="O1113" t="str" cm="1">
        <f t="array" ref="O1113">_xlfn.IFS(orders[[#This Row],[Customer Gender]] = "M", "Male",orders[[#This Row],[Customer Gender]] = "F", "Female",orders[[#This Row],[Customer Gender]] = "O", "Others",TRUE,"Unknown")</f>
        <v>Others</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 - orders[[#This Row],[Order Date]]</f>
        <v>1</v>
      </c>
      <c r="N1114">
        <f>WEEKNUM(orders[[#This Row],[Order Date]])</f>
        <v>7</v>
      </c>
      <c r="O1114" t="str" cm="1">
        <f t="array" ref="O1114">_xlfn.IFS(orders[[#This Row],[Customer Gender]] = "M", "Male",orders[[#This Row],[Customer Gender]] = "F", "Female",orders[[#This Row],[Customer Gender]] = "O", "Others",TRUE,"Unknown")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 - orders[[#This Row],[Order Date]]</f>
        <v>7</v>
      </c>
      <c r="N1115">
        <f>WEEKNUM(orders[[#This Row],[Order Date]])</f>
        <v>7</v>
      </c>
      <c r="O1115" t="str" cm="1">
        <f t="array" ref="O1115">_xlfn.IFS(orders[[#This Row],[Customer Gender]] = "M", "Male",orders[[#This Row],[Customer Gender]] = "F", "Female",orders[[#This Row],[Customer Gender]] = "O", "Others",TRUE,"Unknown")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 - orders[[#This Row],[Order Date]]</f>
        <v>4</v>
      </c>
      <c r="N1116">
        <f>WEEKNUM(orders[[#This Row],[Order Date]])</f>
        <v>7</v>
      </c>
      <c r="O1116" t="str" cm="1">
        <f t="array" ref="O1116">_xlfn.IFS(orders[[#This Row],[Customer Gender]] = "M", "Male",orders[[#This Row],[Customer Gender]] = "F", "Female",orders[[#This Row],[Customer Gender]] = "O", "Others",TRUE,"Unknown")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 - orders[[#This Row],[Order Date]]</f>
        <v>3</v>
      </c>
      <c r="N1117">
        <f>WEEKNUM(orders[[#This Row],[Order Date]])</f>
        <v>7</v>
      </c>
      <c r="O1117" t="str" cm="1">
        <f t="array" ref="O1117">_xlfn.IFS(orders[[#This Row],[Customer Gender]] = "M", "Male",orders[[#This Row],[Customer Gender]] = "F", "Female",orders[[#This Row],[Customer Gender]] = "O", "Others",TRUE,"Unknown")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 - orders[[#This Row],[Order Date]]</f>
        <v>1</v>
      </c>
      <c r="N1118">
        <f>WEEKNUM(orders[[#This Row],[Order Date]])</f>
        <v>7</v>
      </c>
      <c r="O1118" t="str" cm="1">
        <f t="array" ref="O1118">_xlfn.IFS(orders[[#This Row],[Customer Gender]] = "M", "Male",orders[[#This Row],[Customer Gender]] = "F", "Female",orders[[#This Row],[Customer Gender]] = "O", "Others",TRUE,"Unknown")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 - orders[[#This Row],[Order Date]]</f>
        <v>0</v>
      </c>
      <c r="N1119">
        <f>WEEKNUM(orders[[#This Row],[Order Date]])</f>
        <v>7</v>
      </c>
      <c r="O1119" t="str" cm="1">
        <f t="array" ref="O1119">_xlfn.IFS(orders[[#This Row],[Customer Gender]] = "M", "Male",orders[[#This Row],[Customer Gender]] = "F", "Female",orders[[#This Row],[Customer Gender]] = "O", "Others",TRUE,"Unknown")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 - orders[[#This Row],[Order Date]]</f>
        <v>3</v>
      </c>
      <c r="N1120">
        <f>WEEKNUM(orders[[#This Row],[Order Date]])</f>
        <v>7</v>
      </c>
      <c r="O1120" t="str" cm="1">
        <f t="array" ref="O1120">_xlfn.IFS(orders[[#This Row],[Customer Gender]] = "M", "Male",orders[[#This Row],[Customer Gender]] = "F", "Female",orders[[#This Row],[Customer Gender]] = "O", "Others",TRUE,"Unknown")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 - orders[[#This Row],[Order Date]]</f>
        <v>1</v>
      </c>
      <c r="N1121">
        <f>WEEKNUM(orders[[#This Row],[Order Date]])</f>
        <v>7</v>
      </c>
      <c r="O1121" t="str" cm="1">
        <f t="array" ref="O1121">_xlfn.IFS(orders[[#This Row],[Customer Gender]] = "M", "Male",orders[[#This Row],[Customer Gender]] = "F", "Female",orders[[#This Row],[Customer Gender]] = "O", "Others",TRUE,"Unknown")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 - orders[[#This Row],[Order Date]]</f>
        <v>2</v>
      </c>
      <c r="N1122">
        <f>WEEKNUM(orders[[#This Row],[Order Date]])</f>
        <v>7</v>
      </c>
      <c r="O1122" t="str" cm="1">
        <f t="array" ref="O1122">_xlfn.IFS(orders[[#This Row],[Customer Gender]] = "M", "Male",orders[[#This Row],[Customer Gender]] = "F", "Female",orders[[#This Row],[Customer Gender]] = "O", "Others",TRUE,"Unknown")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 - orders[[#This Row],[Order Date]]</f>
        <v>3</v>
      </c>
      <c r="N1123">
        <f>WEEKNUM(orders[[#This Row],[Order Date]])</f>
        <v>7</v>
      </c>
      <c r="O1123" t="str" cm="1">
        <f t="array" ref="O1123">_xlfn.IFS(orders[[#This Row],[Customer Gender]] = "M", "Male",orders[[#This Row],[Customer Gender]] = "F", "Female",orders[[#This Row],[Customer Gender]] = "O", "Others",TRUE,"Unknown")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 - orders[[#This Row],[Order Date]]</f>
        <v>2</v>
      </c>
      <c r="N1124">
        <f>WEEKNUM(orders[[#This Row],[Order Date]])</f>
        <v>7</v>
      </c>
      <c r="O1124" t="str" cm="1">
        <f t="array" ref="O1124">_xlfn.IFS(orders[[#This Row],[Customer Gender]] = "M", "Male",orders[[#This Row],[Customer Gender]] = "F", "Female",orders[[#This Row],[Customer Gender]] = "O", "Others",TRUE,"Unknown")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 - orders[[#This Row],[Order Date]]</f>
        <v>1</v>
      </c>
      <c r="N1125">
        <f>WEEKNUM(orders[[#This Row],[Order Date]])</f>
        <v>7</v>
      </c>
      <c r="O1125" t="str" cm="1">
        <f t="array" ref="O1125">_xlfn.IFS(orders[[#This Row],[Customer Gender]] = "M", "Male",orders[[#This Row],[Customer Gender]] = "F", "Female",orders[[#This Row],[Customer Gender]] = "O", "Others",TRUE,"Unknown")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 - orders[[#This Row],[Order Date]]</f>
        <v>1</v>
      </c>
      <c r="N1126">
        <f>WEEKNUM(orders[[#This Row],[Order Date]])</f>
        <v>7</v>
      </c>
      <c r="O1126" t="str" cm="1">
        <f t="array" ref="O1126">_xlfn.IFS(orders[[#This Row],[Customer Gender]] = "M", "Male",orders[[#This Row],[Customer Gender]] = "F", "Female",orders[[#This Row],[Customer Gender]] = "O", "Others",TRUE,"Unknown")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 - orders[[#This Row],[Order Date]]</f>
        <v>4</v>
      </c>
      <c r="N1127">
        <f>WEEKNUM(orders[[#This Row],[Order Date]])</f>
        <v>7</v>
      </c>
      <c r="O1127" t="str" cm="1">
        <f t="array" ref="O1127">_xlfn.IFS(orders[[#This Row],[Customer Gender]] = "M", "Male",orders[[#This Row],[Customer Gender]] = "F", "Female",orders[[#This Row],[Customer Gender]] = "O", "Others",TRUE,"Unknown")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 - orders[[#This Row],[Order Date]]</f>
        <v>1</v>
      </c>
      <c r="N1128">
        <f>WEEKNUM(orders[[#This Row],[Order Date]])</f>
        <v>7</v>
      </c>
      <c r="O1128" t="str" cm="1">
        <f t="array" ref="O1128">_xlfn.IFS(orders[[#This Row],[Customer Gender]] = "M", "Male",orders[[#This Row],[Customer Gender]] = "F", "Female",orders[[#This Row],[Customer Gender]] = "O", "Others",TRUE,"Unknown")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 - orders[[#This Row],[Order Date]]</f>
        <v>1</v>
      </c>
      <c r="N1129">
        <f>WEEKNUM(orders[[#This Row],[Order Date]])</f>
        <v>7</v>
      </c>
      <c r="O1129" t="str" cm="1">
        <f t="array" ref="O1129">_xlfn.IFS(orders[[#This Row],[Customer Gender]] = "M", "Male",orders[[#This Row],[Customer Gender]] = "F", "Female",orders[[#This Row],[Customer Gender]] = "O", "Others",TRUE,"Unknown")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 - orders[[#This Row],[Order Date]]</f>
        <v>4</v>
      </c>
      <c r="N1130">
        <f>WEEKNUM(orders[[#This Row],[Order Date]])</f>
        <v>7</v>
      </c>
      <c r="O1130" t="str" cm="1">
        <f t="array" ref="O1130">_xlfn.IFS(orders[[#This Row],[Customer Gender]] = "M", "Male",orders[[#This Row],[Customer Gender]] = "F", "Female",orders[[#This Row],[Customer Gender]] = "O", "Others",TRUE,"Unknown")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 - orders[[#This Row],[Order Date]]</f>
        <v>13</v>
      </c>
      <c r="N1131">
        <f>WEEKNUM(orders[[#This Row],[Order Date]])</f>
        <v>7</v>
      </c>
      <c r="O1131" t="str" cm="1">
        <f t="array" ref="O1131">_xlfn.IFS(orders[[#This Row],[Customer Gender]] = "M", "Male",orders[[#This Row],[Customer Gender]] = "F", "Female",orders[[#This Row],[Customer Gender]] = "O", "Others",TRUE,"Unknown")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 - orders[[#This Row],[Order Date]]</f>
        <v>1</v>
      </c>
      <c r="N1132">
        <f>WEEKNUM(orders[[#This Row],[Order Date]])</f>
        <v>7</v>
      </c>
      <c r="O1132" t="str" cm="1">
        <f t="array" ref="O1132">_xlfn.IFS(orders[[#This Row],[Customer Gender]] = "M", "Male",orders[[#This Row],[Customer Gender]] = "F", "Female",orders[[#This Row],[Customer Gender]] = "O", "Others",TRUE,"Unknown")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 - orders[[#This Row],[Order Date]]</f>
        <v>1</v>
      </c>
      <c r="N1133">
        <f>WEEKNUM(orders[[#This Row],[Order Date]])</f>
        <v>7</v>
      </c>
      <c r="O1133" t="str" cm="1">
        <f t="array" ref="O1133">_xlfn.IFS(orders[[#This Row],[Customer Gender]] = "M", "Male",orders[[#This Row],[Customer Gender]] = "F", "Female",orders[[#This Row],[Customer Gender]] = "O", "Others",TRUE,"Unknown")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 - orders[[#This Row],[Order Date]]</f>
        <v>1</v>
      </c>
      <c r="N1134">
        <f>WEEKNUM(orders[[#This Row],[Order Date]])</f>
        <v>7</v>
      </c>
      <c r="O1134" t="str" cm="1">
        <f t="array" ref="O1134">_xlfn.IFS(orders[[#This Row],[Customer Gender]] = "M", "Male",orders[[#This Row],[Customer Gender]] = "F", "Female",orders[[#This Row],[Customer Gender]] = "O", "Others",TRUE,"Unknown")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 - orders[[#This Row],[Order Date]]</f>
        <v>1</v>
      </c>
      <c r="N1135">
        <f>WEEKNUM(orders[[#This Row],[Order Date]])</f>
        <v>7</v>
      </c>
      <c r="O1135" t="str" cm="1">
        <f t="array" ref="O1135">_xlfn.IFS(orders[[#This Row],[Customer Gender]] = "M", "Male",orders[[#This Row],[Customer Gender]] = "F", "Female",orders[[#This Row],[Customer Gender]] = "O", "Others",TRUE,"Unknown")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 - orders[[#This Row],[Order Date]]</f>
        <v>0</v>
      </c>
      <c r="N1136">
        <f>WEEKNUM(orders[[#This Row],[Order Date]])</f>
        <v>7</v>
      </c>
      <c r="O1136" t="str" cm="1">
        <f t="array" ref="O1136">_xlfn.IFS(orders[[#This Row],[Customer Gender]] = "M", "Male",orders[[#This Row],[Customer Gender]] = "F", "Female",orders[[#This Row],[Customer Gender]] = "O", "Others",TRUE,"Unknown")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 - orders[[#This Row],[Order Date]]</f>
        <v>1</v>
      </c>
      <c r="N1137">
        <f>WEEKNUM(orders[[#This Row],[Order Date]])</f>
        <v>7</v>
      </c>
      <c r="O1137" t="str" cm="1">
        <f t="array" ref="O1137">_xlfn.IFS(orders[[#This Row],[Customer Gender]] = "M", "Male",orders[[#This Row],[Customer Gender]] = "F", "Female",orders[[#This Row],[Customer Gender]] = "O", "Others",TRUE,"Unknown")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 - orders[[#This Row],[Order Date]]</f>
        <v>3</v>
      </c>
      <c r="N1138">
        <f>WEEKNUM(orders[[#This Row],[Order Date]])</f>
        <v>7</v>
      </c>
      <c r="O1138" t="str" cm="1">
        <f t="array" ref="O1138">_xlfn.IFS(orders[[#This Row],[Customer Gender]] = "M", "Male",orders[[#This Row],[Customer Gender]] = "F", "Female",orders[[#This Row],[Customer Gender]] = "O", "Others",TRUE,"Unknown")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 - orders[[#This Row],[Order Date]]</f>
        <v>2</v>
      </c>
      <c r="N1139">
        <f>WEEKNUM(orders[[#This Row],[Order Date]])</f>
        <v>7</v>
      </c>
      <c r="O1139" t="str" cm="1">
        <f t="array" ref="O1139">_xlfn.IFS(orders[[#This Row],[Customer Gender]] = "M", "Male",orders[[#This Row],[Customer Gender]] = "F", "Female",orders[[#This Row],[Customer Gender]] = "O", "Others",TRUE,"Unknown")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 - orders[[#This Row],[Order Date]]</f>
        <v>0</v>
      </c>
      <c r="N1140">
        <f>WEEKNUM(orders[[#This Row],[Order Date]])</f>
        <v>7</v>
      </c>
      <c r="O1140" t="str" cm="1">
        <f t="array" ref="O1140">_xlfn.IFS(orders[[#This Row],[Customer Gender]] = "M", "Male",orders[[#This Row],[Customer Gender]] = "F", "Female",orders[[#This Row],[Customer Gender]] = "O", "Others",TRUE,"Unknown")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 - orders[[#This Row],[Order Date]]</f>
        <v>10</v>
      </c>
      <c r="N1141">
        <f>WEEKNUM(orders[[#This Row],[Order Date]])</f>
        <v>7</v>
      </c>
      <c r="O1141" t="str" cm="1">
        <f t="array" ref="O1141">_xlfn.IFS(orders[[#This Row],[Customer Gender]] = "M", "Male",orders[[#This Row],[Customer Gender]] = "F", "Female",orders[[#This Row],[Customer Gender]] = "O", "Others",TRUE,"Unknown")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 - orders[[#This Row],[Order Date]]</f>
        <v>1</v>
      </c>
      <c r="N1142">
        <f>WEEKNUM(orders[[#This Row],[Order Date]])</f>
        <v>7</v>
      </c>
      <c r="O1142" t="str" cm="1">
        <f t="array" ref="O1142">_xlfn.IFS(orders[[#This Row],[Customer Gender]] = "M", "Male",orders[[#This Row],[Customer Gender]] = "F", "Female",orders[[#This Row],[Customer Gender]] = "O", "Others",TRUE,"Unknown")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 - orders[[#This Row],[Order Date]]</f>
        <v>2</v>
      </c>
      <c r="N1143">
        <f>WEEKNUM(orders[[#This Row],[Order Date]])</f>
        <v>7</v>
      </c>
      <c r="O1143" t="str" cm="1">
        <f t="array" ref="O1143">_xlfn.IFS(orders[[#This Row],[Customer Gender]] = "M", "Male",orders[[#This Row],[Customer Gender]] = "F", "Female",orders[[#This Row],[Customer Gender]] = "O", "Others",TRUE,"Unknown")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 - orders[[#This Row],[Order Date]]</f>
        <v>2</v>
      </c>
      <c r="N1144">
        <f>WEEKNUM(orders[[#This Row],[Order Date]])</f>
        <v>7</v>
      </c>
      <c r="O1144" t="str" cm="1">
        <f t="array" ref="O1144">_xlfn.IFS(orders[[#This Row],[Customer Gender]] = "M", "Male",orders[[#This Row],[Customer Gender]] = "F", "Female",orders[[#This Row],[Customer Gender]] = "O", "Others",TRUE,"Unknown")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 - orders[[#This Row],[Order Date]]</f>
        <v>1</v>
      </c>
      <c r="N1145">
        <f>WEEKNUM(orders[[#This Row],[Order Date]])</f>
        <v>7</v>
      </c>
      <c r="O1145" t="str" cm="1">
        <f t="array" ref="O1145">_xlfn.IFS(orders[[#This Row],[Customer Gender]] = "M", "Male",orders[[#This Row],[Customer Gender]] = "F", "Female",orders[[#This Row],[Customer Gender]] = "O", "Others",TRUE,"Unknown")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 - orders[[#This Row],[Order Date]]</f>
        <v>1</v>
      </c>
      <c r="N1146">
        <f>WEEKNUM(orders[[#This Row],[Order Date]])</f>
        <v>7</v>
      </c>
      <c r="O1146" t="str" cm="1">
        <f t="array" ref="O1146">_xlfn.IFS(orders[[#This Row],[Customer Gender]] = "M", "Male",orders[[#This Row],[Customer Gender]] = "F", "Female",orders[[#This Row],[Customer Gender]] = "O", "Others",TRUE,"Unknown")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 - orders[[#This Row],[Order Date]]</f>
        <v>2</v>
      </c>
      <c r="N1147">
        <f>WEEKNUM(orders[[#This Row],[Order Date]])</f>
        <v>7</v>
      </c>
      <c r="O1147" t="str" cm="1">
        <f t="array" ref="O1147">_xlfn.IFS(orders[[#This Row],[Customer Gender]] = "M", "Male",orders[[#This Row],[Customer Gender]] = "F", "Female",orders[[#This Row],[Customer Gender]] = "O", "Others",TRUE,"Unknown")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 - orders[[#This Row],[Order Date]]</f>
        <v>1</v>
      </c>
      <c r="N1148">
        <f>WEEKNUM(orders[[#This Row],[Order Date]])</f>
        <v>7</v>
      </c>
      <c r="O1148" t="str" cm="1">
        <f t="array" ref="O1148">_xlfn.IFS(orders[[#This Row],[Customer Gender]] = "M", "Male",orders[[#This Row],[Customer Gender]] = "F", "Female",orders[[#This Row],[Customer Gender]] = "O", "Others",TRUE,"Unknown")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 - orders[[#This Row],[Order Date]]</f>
        <v>5</v>
      </c>
      <c r="N1149">
        <f>WEEKNUM(orders[[#This Row],[Order Date]])</f>
        <v>7</v>
      </c>
      <c r="O1149" t="str" cm="1">
        <f t="array" ref="O1149">_xlfn.IFS(orders[[#This Row],[Customer Gender]] = "M", "Male",orders[[#This Row],[Customer Gender]] = "F", "Female",orders[[#This Row],[Customer Gender]] = "O", "Others",TRUE,"Unknown")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 - orders[[#This Row],[Order Date]]</f>
        <v>8</v>
      </c>
      <c r="N1150">
        <f>WEEKNUM(orders[[#This Row],[Order Date]])</f>
        <v>7</v>
      </c>
      <c r="O1150" t="str" cm="1">
        <f t="array" ref="O1150">_xlfn.IFS(orders[[#This Row],[Customer Gender]] = "M", "Male",orders[[#This Row],[Customer Gender]] = "F", "Female",orders[[#This Row],[Customer Gender]] = "O", "Others",TRUE,"Unknown")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 - orders[[#This Row],[Order Date]]</f>
        <v>3</v>
      </c>
      <c r="N1151">
        <f>WEEKNUM(orders[[#This Row],[Order Date]])</f>
        <v>7</v>
      </c>
      <c r="O1151" t="str" cm="1">
        <f t="array" ref="O1151">_xlfn.IFS(orders[[#This Row],[Customer Gender]] = "M", "Male",orders[[#This Row],[Customer Gender]] = "F", "Female",orders[[#This Row],[Customer Gender]] = "O", "Others",TRUE,"Unknown")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 - orders[[#This Row],[Order Date]]</f>
        <v>1</v>
      </c>
      <c r="N1152">
        <f>WEEKNUM(orders[[#This Row],[Order Date]])</f>
        <v>7</v>
      </c>
      <c r="O1152" t="str" cm="1">
        <f t="array" ref="O1152">_xlfn.IFS(orders[[#This Row],[Customer Gender]] = "M", "Male",orders[[#This Row],[Customer Gender]] = "F", "Female",orders[[#This Row],[Customer Gender]] = "O", "Others",TRUE,"Unknown")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 - orders[[#This Row],[Order Date]]</f>
        <v>1</v>
      </c>
      <c r="N1153">
        <f>WEEKNUM(orders[[#This Row],[Order Date]])</f>
        <v>7</v>
      </c>
      <c r="O1153" t="str" cm="1">
        <f t="array" ref="O1153">_xlfn.IFS(orders[[#This Row],[Customer Gender]] = "M", "Male",orders[[#This Row],[Customer Gender]] = "F", "Female",orders[[#This Row],[Customer Gender]] = "O", "Others",TRUE,"Unknown")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 - orders[[#This Row],[Order Date]]</f>
        <v>1</v>
      </c>
      <c r="N1154">
        <f>WEEKNUM(orders[[#This Row],[Order Date]])</f>
        <v>7</v>
      </c>
      <c r="O1154" t="str" cm="1">
        <f t="array" ref="O1154">_xlfn.IFS(orders[[#This Row],[Customer Gender]] = "M", "Male",orders[[#This Row],[Customer Gender]] = "F", "Female",orders[[#This Row],[Customer Gender]] = "O", "Others",TRUE,"Unknown")</f>
        <v>Others</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 - orders[[#This Row],[Order Date]]</f>
        <v>3</v>
      </c>
      <c r="N1155">
        <f>WEEKNUM(orders[[#This Row],[Order Date]])</f>
        <v>7</v>
      </c>
      <c r="O1155" t="str" cm="1">
        <f t="array" ref="O1155">_xlfn.IFS(orders[[#This Row],[Customer Gender]] = "M", "Male",orders[[#This Row],[Customer Gender]] = "F", "Female",orders[[#This Row],[Customer Gender]] = "O", "Others",TRUE,"Unknown")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 - orders[[#This Row],[Order Date]]</f>
        <v>4</v>
      </c>
      <c r="N1156">
        <f>WEEKNUM(orders[[#This Row],[Order Date]])</f>
        <v>7</v>
      </c>
      <c r="O1156" t="str" cm="1">
        <f t="array" ref="O1156">_xlfn.IFS(orders[[#This Row],[Customer Gender]] = "M", "Male",orders[[#This Row],[Customer Gender]] = "F", "Female",orders[[#This Row],[Customer Gender]] = "O", "Others",TRUE,"Unknown")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 - orders[[#This Row],[Order Date]]</f>
        <v>1</v>
      </c>
      <c r="N1157">
        <f>WEEKNUM(orders[[#This Row],[Order Date]])</f>
        <v>7</v>
      </c>
      <c r="O1157" t="str" cm="1">
        <f t="array" ref="O1157">_xlfn.IFS(orders[[#This Row],[Customer Gender]] = "M", "Male",orders[[#This Row],[Customer Gender]] = "F", "Female",orders[[#This Row],[Customer Gender]] = "O", "Others",TRUE,"Unknown")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 - orders[[#This Row],[Order Date]]</f>
        <v>2</v>
      </c>
      <c r="N1158">
        <f>WEEKNUM(orders[[#This Row],[Order Date]])</f>
        <v>7</v>
      </c>
      <c r="O1158" t="str" cm="1">
        <f t="array" ref="O1158">_xlfn.IFS(orders[[#This Row],[Customer Gender]] = "M", "Male",orders[[#This Row],[Customer Gender]] = "F", "Female",orders[[#This Row],[Customer Gender]] = "O", "Others",TRUE,"Unknown")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 - orders[[#This Row],[Order Date]]</f>
        <v>1</v>
      </c>
      <c r="N1159">
        <f>WEEKNUM(orders[[#This Row],[Order Date]])</f>
        <v>7</v>
      </c>
      <c r="O1159" t="str" cm="1">
        <f t="array" ref="O1159">_xlfn.IFS(orders[[#This Row],[Customer Gender]] = "M", "Male",orders[[#This Row],[Customer Gender]] = "F", "Female",orders[[#This Row],[Customer Gender]] = "O", "Others",TRUE,"Unknown")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 - orders[[#This Row],[Order Date]]</f>
        <v>4</v>
      </c>
      <c r="N1160">
        <f>WEEKNUM(orders[[#This Row],[Order Date]])</f>
        <v>7</v>
      </c>
      <c r="O1160" t="str" cm="1">
        <f t="array" ref="O1160">_xlfn.IFS(orders[[#This Row],[Customer Gender]] = "M", "Male",orders[[#This Row],[Customer Gender]] = "F", "Female",orders[[#This Row],[Customer Gender]] = "O", "Others",TRUE,"Unknown")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 - orders[[#This Row],[Order Date]]</f>
        <v>2</v>
      </c>
      <c r="N1161">
        <f>WEEKNUM(orders[[#This Row],[Order Date]])</f>
        <v>7</v>
      </c>
      <c r="O1161" t="str" cm="1">
        <f t="array" ref="O1161">_xlfn.IFS(orders[[#This Row],[Customer Gender]] = "M", "Male",orders[[#This Row],[Customer Gender]] = "F", "Female",orders[[#This Row],[Customer Gender]] = "O", "Others",TRUE,"Unknown")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 - orders[[#This Row],[Order Date]]</f>
        <v>3</v>
      </c>
      <c r="N1162">
        <f>WEEKNUM(orders[[#This Row],[Order Date]])</f>
        <v>7</v>
      </c>
      <c r="O1162" t="str" cm="1">
        <f t="array" ref="O1162">_xlfn.IFS(orders[[#This Row],[Customer Gender]] = "M", "Male",orders[[#This Row],[Customer Gender]] = "F", "Female",orders[[#This Row],[Customer Gender]] = "O", "Others",TRUE,"Unknown")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 - orders[[#This Row],[Order Date]]</f>
        <v>1</v>
      </c>
      <c r="N1163">
        <f>WEEKNUM(orders[[#This Row],[Order Date]])</f>
        <v>7</v>
      </c>
      <c r="O1163" t="str" cm="1">
        <f t="array" ref="O1163">_xlfn.IFS(orders[[#This Row],[Customer Gender]] = "M", "Male",orders[[#This Row],[Customer Gender]] = "F", "Female",orders[[#This Row],[Customer Gender]] = "O", "Others",TRUE,"Unknown")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 - orders[[#This Row],[Order Date]]</f>
        <v>1</v>
      </c>
      <c r="N1164">
        <f>WEEKNUM(orders[[#This Row],[Order Date]])</f>
        <v>7</v>
      </c>
      <c r="O1164" t="str" cm="1">
        <f t="array" ref="O1164">_xlfn.IFS(orders[[#This Row],[Customer Gender]] = "M", "Male",orders[[#This Row],[Customer Gender]] = "F", "Female",orders[[#This Row],[Customer Gender]] = "O", "Others",TRUE,"Unknown")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 - orders[[#This Row],[Order Date]]</f>
        <v>2</v>
      </c>
      <c r="N1165">
        <f>WEEKNUM(orders[[#This Row],[Order Date]])</f>
        <v>7</v>
      </c>
      <c r="O1165" t="str" cm="1">
        <f t="array" ref="O1165">_xlfn.IFS(orders[[#This Row],[Customer Gender]] = "M", "Male",orders[[#This Row],[Customer Gender]] = "F", "Female",orders[[#This Row],[Customer Gender]] = "O", "Others",TRUE,"Unknown")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 - orders[[#This Row],[Order Date]]</f>
        <v>1</v>
      </c>
      <c r="N1166">
        <f>WEEKNUM(orders[[#This Row],[Order Date]])</f>
        <v>7</v>
      </c>
      <c r="O1166" t="str" cm="1">
        <f t="array" ref="O1166">_xlfn.IFS(orders[[#This Row],[Customer Gender]] = "M", "Male",orders[[#This Row],[Customer Gender]] = "F", "Female",orders[[#This Row],[Customer Gender]] = "O", "Others",TRUE,"Unknown")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 - orders[[#This Row],[Order Date]]</f>
        <v>0</v>
      </c>
      <c r="N1167">
        <f>WEEKNUM(orders[[#This Row],[Order Date]])</f>
        <v>7</v>
      </c>
      <c r="O1167" t="str" cm="1">
        <f t="array" ref="O1167">_xlfn.IFS(orders[[#This Row],[Customer Gender]] = "M", "Male",orders[[#This Row],[Customer Gender]] = "F", "Female",orders[[#This Row],[Customer Gender]] = "O", "Others",TRUE,"Unknown")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 - orders[[#This Row],[Order Date]]</f>
        <v>7</v>
      </c>
      <c r="N1168">
        <f>WEEKNUM(orders[[#This Row],[Order Date]])</f>
        <v>7</v>
      </c>
      <c r="O1168" t="str" cm="1">
        <f t="array" ref="O1168">_xlfn.IFS(orders[[#This Row],[Customer Gender]] = "M", "Male",orders[[#This Row],[Customer Gender]] = "F", "Female",orders[[#This Row],[Customer Gender]] = "O", "Others",TRUE,"Unknown")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 - orders[[#This Row],[Order Date]]</f>
        <v>5</v>
      </c>
      <c r="N1169">
        <f>WEEKNUM(orders[[#This Row],[Order Date]])</f>
        <v>7</v>
      </c>
      <c r="O1169" t="str" cm="1">
        <f t="array" ref="O1169">_xlfn.IFS(orders[[#This Row],[Customer Gender]] = "M", "Male",orders[[#This Row],[Customer Gender]] = "F", "Female",orders[[#This Row],[Customer Gender]] = "O", "Others",TRUE,"Unknown")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 - orders[[#This Row],[Order Date]]</f>
        <v>4</v>
      </c>
      <c r="N1170">
        <f>WEEKNUM(orders[[#This Row],[Order Date]])</f>
        <v>7</v>
      </c>
      <c r="O1170" t="str" cm="1">
        <f t="array" ref="O1170">_xlfn.IFS(orders[[#This Row],[Customer Gender]] = "M", "Male",orders[[#This Row],[Customer Gender]] = "F", "Female",orders[[#This Row],[Customer Gender]] = "O", "Others",TRUE,"Unknown")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 - orders[[#This Row],[Order Date]]</f>
        <v>1</v>
      </c>
      <c r="N1171">
        <f>WEEKNUM(orders[[#This Row],[Order Date]])</f>
        <v>7</v>
      </c>
      <c r="O1171" t="str" cm="1">
        <f t="array" ref="O1171">_xlfn.IFS(orders[[#This Row],[Customer Gender]] = "M", "Male",orders[[#This Row],[Customer Gender]] = "F", "Female",orders[[#This Row],[Customer Gender]] = "O", "Others",TRUE,"Unknown")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 - orders[[#This Row],[Order Date]]</f>
        <v>1</v>
      </c>
      <c r="N1172">
        <f>WEEKNUM(orders[[#This Row],[Order Date]])</f>
        <v>7</v>
      </c>
      <c r="O1172" t="str" cm="1">
        <f t="array" ref="O1172">_xlfn.IFS(orders[[#This Row],[Customer Gender]] = "M", "Male",orders[[#This Row],[Customer Gender]] = "F", "Female",orders[[#This Row],[Customer Gender]] = "O", "Others",TRUE,"Unknown")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 - orders[[#This Row],[Order Date]]</f>
        <v>2</v>
      </c>
      <c r="N1173">
        <f>WEEKNUM(orders[[#This Row],[Order Date]])</f>
        <v>7</v>
      </c>
      <c r="O1173" t="str" cm="1">
        <f t="array" ref="O1173">_xlfn.IFS(orders[[#This Row],[Customer Gender]] = "M", "Male",orders[[#This Row],[Customer Gender]] = "F", "Female",orders[[#This Row],[Customer Gender]] = "O", "Others",TRUE,"Unknown")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 - orders[[#This Row],[Order Date]]</f>
        <v>4</v>
      </c>
      <c r="N1174">
        <f>WEEKNUM(orders[[#This Row],[Order Date]])</f>
        <v>7</v>
      </c>
      <c r="O1174" t="str" cm="1">
        <f t="array" ref="O1174">_xlfn.IFS(orders[[#This Row],[Customer Gender]] = "M", "Male",orders[[#This Row],[Customer Gender]] = "F", "Female",orders[[#This Row],[Customer Gender]] = "O", "Others",TRUE,"Unknown")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 - orders[[#This Row],[Order Date]]</f>
        <v>1</v>
      </c>
      <c r="N1175">
        <f>WEEKNUM(orders[[#This Row],[Order Date]])</f>
        <v>7</v>
      </c>
      <c r="O1175" t="str" cm="1">
        <f t="array" ref="O1175">_xlfn.IFS(orders[[#This Row],[Customer Gender]] = "M", "Male",orders[[#This Row],[Customer Gender]] = "F", "Female",orders[[#This Row],[Customer Gender]] = "O", "Others",TRUE,"Unknown")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 - orders[[#This Row],[Order Date]]</f>
        <v>2</v>
      </c>
      <c r="N1176">
        <f>WEEKNUM(orders[[#This Row],[Order Date]])</f>
        <v>7</v>
      </c>
      <c r="O1176" t="str" cm="1">
        <f t="array" ref="O1176">_xlfn.IFS(orders[[#This Row],[Customer Gender]] = "M", "Male",orders[[#This Row],[Customer Gender]] = "F", "Female",orders[[#This Row],[Customer Gender]] = "O", "Others",TRUE,"Unknown")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 - orders[[#This Row],[Order Date]]</f>
        <v>1</v>
      </c>
      <c r="N1177">
        <f>WEEKNUM(orders[[#This Row],[Order Date]])</f>
        <v>8</v>
      </c>
      <c r="O1177" t="str" cm="1">
        <f t="array" ref="O1177">_xlfn.IFS(orders[[#This Row],[Customer Gender]] = "M", "Male",orders[[#This Row],[Customer Gender]] = "F", "Female",orders[[#This Row],[Customer Gender]] = "O", "Others",TRUE,"Unknown")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 - orders[[#This Row],[Order Date]]</f>
        <v>7</v>
      </c>
      <c r="N1178">
        <f>WEEKNUM(orders[[#This Row],[Order Date]])</f>
        <v>8</v>
      </c>
      <c r="O1178" t="str" cm="1">
        <f t="array" ref="O1178">_xlfn.IFS(orders[[#This Row],[Customer Gender]] = "M", "Male",orders[[#This Row],[Customer Gender]] = "F", "Female",orders[[#This Row],[Customer Gender]] = "O", "Others",TRUE,"Unknown")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 - orders[[#This Row],[Order Date]]</f>
        <v>9</v>
      </c>
      <c r="N1179">
        <f>WEEKNUM(orders[[#This Row],[Order Date]])</f>
        <v>8</v>
      </c>
      <c r="O1179" t="str" cm="1">
        <f t="array" ref="O1179">_xlfn.IFS(orders[[#This Row],[Customer Gender]] = "M", "Male",orders[[#This Row],[Customer Gender]] = "F", "Female",orders[[#This Row],[Customer Gender]] = "O", "Others",TRUE,"Unknown")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 - orders[[#This Row],[Order Date]]</f>
        <v>3</v>
      </c>
      <c r="N1180">
        <f>WEEKNUM(orders[[#This Row],[Order Date]])</f>
        <v>8</v>
      </c>
      <c r="O1180" t="str" cm="1">
        <f t="array" ref="O1180">_xlfn.IFS(orders[[#This Row],[Customer Gender]] = "M", "Male",orders[[#This Row],[Customer Gender]] = "F", "Female",orders[[#This Row],[Customer Gender]] = "O", "Others",TRUE,"Unknown")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 - orders[[#This Row],[Order Date]]</f>
        <v>1</v>
      </c>
      <c r="N1181">
        <f>WEEKNUM(orders[[#This Row],[Order Date]])</f>
        <v>8</v>
      </c>
      <c r="O1181" t="str" cm="1">
        <f t="array" ref="O1181">_xlfn.IFS(orders[[#This Row],[Customer Gender]] = "M", "Male",orders[[#This Row],[Customer Gender]] = "F", "Female",orders[[#This Row],[Customer Gender]] = "O", "Others",TRUE,"Unknown")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 - orders[[#This Row],[Order Date]]</f>
        <v>8</v>
      </c>
      <c r="N1182">
        <f>WEEKNUM(orders[[#This Row],[Order Date]])</f>
        <v>8</v>
      </c>
      <c r="O1182" t="str" cm="1">
        <f t="array" ref="O1182">_xlfn.IFS(orders[[#This Row],[Customer Gender]] = "M", "Male",orders[[#This Row],[Customer Gender]] = "F", "Female",orders[[#This Row],[Customer Gender]] = "O", "Others",TRUE,"Unknown")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 - orders[[#This Row],[Order Date]]</f>
        <v>3</v>
      </c>
      <c r="N1183">
        <f>WEEKNUM(orders[[#This Row],[Order Date]])</f>
        <v>8</v>
      </c>
      <c r="O1183" t="str" cm="1">
        <f t="array" ref="O1183">_xlfn.IFS(orders[[#This Row],[Customer Gender]] = "M", "Male",orders[[#This Row],[Customer Gender]] = "F", "Female",orders[[#This Row],[Customer Gender]] = "O", "Others",TRUE,"Unknown")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 - orders[[#This Row],[Order Date]]</f>
        <v>0</v>
      </c>
      <c r="N1184">
        <f>WEEKNUM(orders[[#This Row],[Order Date]])</f>
        <v>8</v>
      </c>
      <c r="O1184" t="str" cm="1">
        <f t="array" ref="O1184">_xlfn.IFS(orders[[#This Row],[Customer Gender]] = "M", "Male",orders[[#This Row],[Customer Gender]] = "F", "Female",orders[[#This Row],[Customer Gender]] = "O", "Others",TRUE,"Unknown")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 - orders[[#This Row],[Order Date]]</f>
        <v>1</v>
      </c>
      <c r="N1185">
        <f>WEEKNUM(orders[[#This Row],[Order Date]])</f>
        <v>8</v>
      </c>
      <c r="O1185" t="str" cm="1">
        <f t="array" ref="O1185">_xlfn.IFS(orders[[#This Row],[Customer Gender]] = "M", "Male",orders[[#This Row],[Customer Gender]] = "F", "Female",orders[[#This Row],[Customer Gender]] = "O", "Others",TRUE,"Unknown")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 - orders[[#This Row],[Order Date]]</f>
        <v>2</v>
      </c>
      <c r="N1186">
        <f>WEEKNUM(orders[[#This Row],[Order Date]])</f>
        <v>8</v>
      </c>
      <c r="O1186" t="str" cm="1">
        <f t="array" ref="O1186">_xlfn.IFS(orders[[#This Row],[Customer Gender]] = "M", "Male",orders[[#This Row],[Customer Gender]] = "F", "Female",orders[[#This Row],[Customer Gender]] = "O", "Others",TRUE,"Unknown")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 - orders[[#This Row],[Order Date]]</f>
        <v>5</v>
      </c>
      <c r="N1187">
        <f>WEEKNUM(orders[[#This Row],[Order Date]])</f>
        <v>8</v>
      </c>
      <c r="O1187" t="str" cm="1">
        <f t="array" ref="O1187">_xlfn.IFS(orders[[#This Row],[Customer Gender]] = "M", "Male",orders[[#This Row],[Customer Gender]] = "F", "Female",orders[[#This Row],[Customer Gender]] = "O", "Others",TRUE,"Unknown")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 - orders[[#This Row],[Order Date]]</f>
        <v>2</v>
      </c>
      <c r="N1188">
        <f>WEEKNUM(orders[[#This Row],[Order Date]])</f>
        <v>8</v>
      </c>
      <c r="O1188" t="str" cm="1">
        <f t="array" ref="O1188">_xlfn.IFS(orders[[#This Row],[Customer Gender]] = "M", "Male",orders[[#This Row],[Customer Gender]] = "F", "Female",orders[[#This Row],[Customer Gender]] = "O", "Others",TRUE,"Unknown")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 - orders[[#This Row],[Order Date]]</f>
        <v>1</v>
      </c>
      <c r="N1189">
        <f>WEEKNUM(orders[[#This Row],[Order Date]])</f>
        <v>8</v>
      </c>
      <c r="O1189" t="str" cm="1">
        <f t="array" ref="O1189">_xlfn.IFS(orders[[#This Row],[Customer Gender]] = "M", "Male",orders[[#This Row],[Customer Gender]] = "F", "Female",orders[[#This Row],[Customer Gender]] = "O", "Others",TRUE,"Unknown")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 - orders[[#This Row],[Order Date]]</f>
        <v>2</v>
      </c>
      <c r="N1190">
        <f>WEEKNUM(orders[[#This Row],[Order Date]])</f>
        <v>8</v>
      </c>
      <c r="O1190" t="str" cm="1">
        <f t="array" ref="O1190">_xlfn.IFS(orders[[#This Row],[Customer Gender]] = "M", "Male",orders[[#This Row],[Customer Gender]] = "F", "Female",orders[[#This Row],[Customer Gender]] = "O", "Others",TRUE,"Unknown")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 - orders[[#This Row],[Order Date]]</f>
        <v>1</v>
      </c>
      <c r="N1191">
        <f>WEEKNUM(orders[[#This Row],[Order Date]])</f>
        <v>8</v>
      </c>
      <c r="O1191" t="str" cm="1">
        <f t="array" ref="O1191">_xlfn.IFS(orders[[#This Row],[Customer Gender]] = "M", "Male",orders[[#This Row],[Customer Gender]] = "F", "Female",orders[[#This Row],[Customer Gender]] = "O", "Others",TRUE,"Unknown")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 - orders[[#This Row],[Order Date]]</f>
        <v>4</v>
      </c>
      <c r="N1192">
        <f>WEEKNUM(orders[[#This Row],[Order Date]])</f>
        <v>8</v>
      </c>
      <c r="O1192" t="str" cm="1">
        <f t="array" ref="O1192">_xlfn.IFS(orders[[#This Row],[Customer Gender]] = "M", "Male",orders[[#This Row],[Customer Gender]] = "F", "Female",orders[[#This Row],[Customer Gender]] = "O", "Others",TRUE,"Unknown")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 - orders[[#This Row],[Order Date]]</f>
        <v>2</v>
      </c>
      <c r="N1193">
        <f>WEEKNUM(orders[[#This Row],[Order Date]])</f>
        <v>8</v>
      </c>
      <c r="O1193" t="str" cm="1">
        <f t="array" ref="O1193">_xlfn.IFS(orders[[#This Row],[Customer Gender]] = "M", "Male",orders[[#This Row],[Customer Gender]] = "F", "Female",orders[[#This Row],[Customer Gender]] = "O", "Others",TRUE,"Unknown")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 - orders[[#This Row],[Order Date]]</f>
        <v>1</v>
      </c>
      <c r="N1194">
        <f>WEEKNUM(orders[[#This Row],[Order Date]])</f>
        <v>8</v>
      </c>
      <c r="O1194" t="str" cm="1">
        <f t="array" ref="O1194">_xlfn.IFS(orders[[#This Row],[Customer Gender]] = "M", "Male",orders[[#This Row],[Customer Gender]] = "F", "Female",orders[[#This Row],[Customer Gender]] = "O", "Others",TRUE,"Unknown")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 - orders[[#This Row],[Order Date]]</f>
        <v>3</v>
      </c>
      <c r="N1195">
        <f>WEEKNUM(orders[[#This Row],[Order Date]])</f>
        <v>8</v>
      </c>
      <c r="O1195" t="str" cm="1">
        <f t="array" ref="O1195">_xlfn.IFS(orders[[#This Row],[Customer Gender]] = "M", "Male",orders[[#This Row],[Customer Gender]] = "F", "Female",orders[[#This Row],[Customer Gender]] = "O", "Others",TRUE,"Unknown")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 - orders[[#This Row],[Order Date]]</f>
        <v>2</v>
      </c>
      <c r="N1196">
        <f>WEEKNUM(orders[[#This Row],[Order Date]])</f>
        <v>8</v>
      </c>
      <c r="O1196" t="str" cm="1">
        <f t="array" ref="O1196">_xlfn.IFS(orders[[#This Row],[Customer Gender]] = "M", "Male",orders[[#This Row],[Customer Gender]] = "F", "Female",orders[[#This Row],[Customer Gender]] = "O", "Others",TRUE,"Unknown")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 - orders[[#This Row],[Order Date]]</f>
        <v>2</v>
      </c>
      <c r="N1197">
        <f>WEEKNUM(orders[[#This Row],[Order Date]])</f>
        <v>8</v>
      </c>
      <c r="O1197" t="str" cm="1">
        <f t="array" ref="O1197">_xlfn.IFS(orders[[#This Row],[Customer Gender]] = "M", "Male",orders[[#This Row],[Customer Gender]] = "F", "Female",orders[[#This Row],[Customer Gender]] = "O", "Others",TRUE,"Unknown")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 - orders[[#This Row],[Order Date]]</f>
        <v>3</v>
      </c>
      <c r="N1198">
        <f>WEEKNUM(orders[[#This Row],[Order Date]])</f>
        <v>8</v>
      </c>
      <c r="O1198" t="str" cm="1">
        <f t="array" ref="O1198">_xlfn.IFS(orders[[#This Row],[Customer Gender]] = "M", "Male",orders[[#This Row],[Customer Gender]] = "F", "Female",orders[[#This Row],[Customer Gender]] = "O", "Others",TRUE,"Unknown")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 - orders[[#This Row],[Order Date]]</f>
        <v>5</v>
      </c>
      <c r="N1199">
        <f>WEEKNUM(orders[[#This Row],[Order Date]])</f>
        <v>8</v>
      </c>
      <c r="O1199" t="str" cm="1">
        <f t="array" ref="O1199">_xlfn.IFS(orders[[#This Row],[Customer Gender]] = "M", "Male",orders[[#This Row],[Customer Gender]] = "F", "Female",orders[[#This Row],[Customer Gender]] = "O", "Others",TRUE,"Unknown")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 - orders[[#This Row],[Order Date]]</f>
        <v>0</v>
      </c>
      <c r="N1200">
        <f>WEEKNUM(orders[[#This Row],[Order Date]])</f>
        <v>8</v>
      </c>
      <c r="O1200" t="str" cm="1">
        <f t="array" ref="O1200">_xlfn.IFS(orders[[#This Row],[Customer Gender]] = "M", "Male",orders[[#This Row],[Customer Gender]] = "F", "Female",orders[[#This Row],[Customer Gender]] = "O", "Others",TRUE,"Unknown")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 - orders[[#This Row],[Order Date]]</f>
        <v>5</v>
      </c>
      <c r="N1201">
        <f>WEEKNUM(orders[[#This Row],[Order Date]])</f>
        <v>8</v>
      </c>
      <c r="O1201" t="str" cm="1">
        <f t="array" ref="O1201">_xlfn.IFS(orders[[#This Row],[Customer Gender]] = "M", "Male",orders[[#This Row],[Customer Gender]] = "F", "Female",orders[[#This Row],[Customer Gender]] = "O", "Others",TRUE,"Unknown")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 - orders[[#This Row],[Order Date]]</f>
        <v>5</v>
      </c>
      <c r="N1202">
        <f>WEEKNUM(orders[[#This Row],[Order Date]])</f>
        <v>8</v>
      </c>
      <c r="O1202" t="str" cm="1">
        <f t="array" ref="O1202">_xlfn.IFS(orders[[#This Row],[Customer Gender]] = "M", "Male",orders[[#This Row],[Customer Gender]] = "F", "Female",orders[[#This Row],[Customer Gender]] = "O", "Others",TRUE,"Unknown")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 - orders[[#This Row],[Order Date]]</f>
        <v>0</v>
      </c>
      <c r="N1203">
        <f>WEEKNUM(orders[[#This Row],[Order Date]])</f>
        <v>8</v>
      </c>
      <c r="O1203" t="str" cm="1">
        <f t="array" ref="O1203">_xlfn.IFS(orders[[#This Row],[Customer Gender]] = "M", "Male",orders[[#This Row],[Customer Gender]] = "F", "Female",orders[[#This Row],[Customer Gender]] = "O", "Others",TRUE,"Unknown")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 - orders[[#This Row],[Order Date]]</f>
        <v>4</v>
      </c>
      <c r="N1204">
        <f>WEEKNUM(orders[[#This Row],[Order Date]])</f>
        <v>8</v>
      </c>
      <c r="O1204" t="str" cm="1">
        <f t="array" ref="O1204">_xlfn.IFS(orders[[#This Row],[Customer Gender]] = "M", "Male",orders[[#This Row],[Customer Gender]] = "F", "Female",orders[[#This Row],[Customer Gender]] = "O", "Others",TRUE,"Unknown")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 - orders[[#This Row],[Order Date]]</f>
        <v>4</v>
      </c>
      <c r="N1205">
        <f>WEEKNUM(orders[[#This Row],[Order Date]])</f>
        <v>8</v>
      </c>
      <c r="O1205" t="str" cm="1">
        <f t="array" ref="O1205">_xlfn.IFS(orders[[#This Row],[Customer Gender]] = "M", "Male",orders[[#This Row],[Customer Gender]] = "F", "Female",orders[[#This Row],[Customer Gender]] = "O", "Others",TRUE,"Unknown")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 - orders[[#This Row],[Order Date]]</f>
        <v>1</v>
      </c>
      <c r="N1206">
        <f>WEEKNUM(orders[[#This Row],[Order Date]])</f>
        <v>8</v>
      </c>
      <c r="O1206" t="str" cm="1">
        <f t="array" ref="O1206">_xlfn.IFS(orders[[#This Row],[Customer Gender]] = "M", "Male",orders[[#This Row],[Customer Gender]] = "F", "Female",orders[[#This Row],[Customer Gender]] = "O", "Others",TRUE,"Unknown")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 - orders[[#This Row],[Order Date]]</f>
        <v>1</v>
      </c>
      <c r="N1207">
        <f>WEEKNUM(orders[[#This Row],[Order Date]])</f>
        <v>8</v>
      </c>
      <c r="O1207" t="str" cm="1">
        <f t="array" ref="O1207">_xlfn.IFS(orders[[#This Row],[Customer Gender]] = "M", "Male",orders[[#This Row],[Customer Gender]] = "F", "Female",orders[[#This Row],[Customer Gender]] = "O", "Others",TRUE,"Unknown")</f>
        <v>Others</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 - orders[[#This Row],[Order Date]]</f>
        <v>13</v>
      </c>
      <c r="N1208">
        <f>WEEKNUM(orders[[#This Row],[Order Date]])</f>
        <v>8</v>
      </c>
      <c r="O1208" t="str" cm="1">
        <f t="array" ref="O1208">_xlfn.IFS(orders[[#This Row],[Customer Gender]] = "M", "Male",orders[[#This Row],[Customer Gender]] = "F", "Female",orders[[#This Row],[Customer Gender]] = "O", "Others",TRUE,"Unknown")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 - orders[[#This Row],[Order Date]]</f>
        <v>1</v>
      </c>
      <c r="N1209">
        <f>WEEKNUM(orders[[#This Row],[Order Date]])</f>
        <v>8</v>
      </c>
      <c r="O1209" t="str" cm="1">
        <f t="array" ref="O1209">_xlfn.IFS(orders[[#This Row],[Customer Gender]] = "M", "Male",orders[[#This Row],[Customer Gender]] = "F", "Female",orders[[#This Row],[Customer Gender]] = "O", "Others",TRUE,"Unknown")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 - orders[[#This Row],[Order Date]]</f>
        <v>1</v>
      </c>
      <c r="N1210">
        <f>WEEKNUM(orders[[#This Row],[Order Date]])</f>
        <v>8</v>
      </c>
      <c r="O1210" t="str" cm="1">
        <f t="array" ref="O1210">_xlfn.IFS(orders[[#This Row],[Customer Gender]] = "M", "Male",orders[[#This Row],[Customer Gender]] = "F", "Female",orders[[#This Row],[Customer Gender]] = "O", "Others",TRUE,"Unknown")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 - orders[[#This Row],[Order Date]]</f>
        <v>2</v>
      </c>
      <c r="N1211">
        <f>WEEKNUM(orders[[#This Row],[Order Date]])</f>
        <v>8</v>
      </c>
      <c r="O1211" t="str" cm="1">
        <f t="array" ref="O1211">_xlfn.IFS(orders[[#This Row],[Customer Gender]] = "M", "Male",orders[[#This Row],[Customer Gender]] = "F", "Female",orders[[#This Row],[Customer Gender]] = "O", "Others",TRUE,"Unknown")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 - orders[[#This Row],[Order Date]]</f>
        <v>3</v>
      </c>
      <c r="N1212">
        <f>WEEKNUM(orders[[#This Row],[Order Date]])</f>
        <v>8</v>
      </c>
      <c r="O1212" t="str" cm="1">
        <f t="array" ref="O1212">_xlfn.IFS(orders[[#This Row],[Customer Gender]] = "M", "Male",orders[[#This Row],[Customer Gender]] = "F", "Female",orders[[#This Row],[Customer Gender]] = "O", "Others",TRUE,"Unknown")</f>
        <v>Others</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 - orders[[#This Row],[Order Date]]</f>
        <v>2</v>
      </c>
      <c r="N1213">
        <f>WEEKNUM(orders[[#This Row],[Order Date]])</f>
        <v>8</v>
      </c>
      <c r="O1213" t="str" cm="1">
        <f t="array" ref="O1213">_xlfn.IFS(orders[[#This Row],[Customer Gender]] = "M", "Male",orders[[#This Row],[Customer Gender]] = "F", "Female",orders[[#This Row],[Customer Gender]] = "O", "Others",TRUE,"Unknown")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 - orders[[#This Row],[Order Date]]</f>
        <v>4</v>
      </c>
      <c r="N1214">
        <f>WEEKNUM(orders[[#This Row],[Order Date]])</f>
        <v>8</v>
      </c>
      <c r="O1214" t="str" cm="1">
        <f t="array" ref="O1214">_xlfn.IFS(orders[[#This Row],[Customer Gender]] = "M", "Male",orders[[#This Row],[Customer Gender]] = "F", "Female",orders[[#This Row],[Customer Gender]] = "O", "Others",TRUE,"Unknown")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 - orders[[#This Row],[Order Date]]</f>
        <v>3</v>
      </c>
      <c r="N1215">
        <f>WEEKNUM(orders[[#This Row],[Order Date]])</f>
        <v>8</v>
      </c>
      <c r="O1215" t="str" cm="1">
        <f t="array" ref="O1215">_xlfn.IFS(orders[[#This Row],[Customer Gender]] = "M", "Male",orders[[#This Row],[Customer Gender]] = "F", "Female",orders[[#This Row],[Customer Gender]] = "O", "Others",TRUE,"Unknown")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 - orders[[#This Row],[Order Date]]</f>
        <v>0</v>
      </c>
      <c r="N1216">
        <f>WEEKNUM(orders[[#This Row],[Order Date]])</f>
        <v>8</v>
      </c>
      <c r="O1216" t="str" cm="1">
        <f t="array" ref="O1216">_xlfn.IFS(orders[[#This Row],[Customer Gender]] = "M", "Male",orders[[#This Row],[Customer Gender]] = "F", "Female",orders[[#This Row],[Customer Gender]] = "O", "Others",TRUE,"Unknown")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 - orders[[#This Row],[Order Date]]</f>
        <v>4</v>
      </c>
      <c r="N1217">
        <f>WEEKNUM(orders[[#This Row],[Order Date]])</f>
        <v>8</v>
      </c>
      <c r="O1217" t="str" cm="1">
        <f t="array" ref="O1217">_xlfn.IFS(orders[[#This Row],[Customer Gender]] = "M", "Male",orders[[#This Row],[Customer Gender]] = "F", "Female",orders[[#This Row],[Customer Gender]] = "O", "Others",TRUE,"Unknown")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 - orders[[#This Row],[Order Date]]</f>
        <v>3</v>
      </c>
      <c r="N1218">
        <f>WEEKNUM(orders[[#This Row],[Order Date]])</f>
        <v>8</v>
      </c>
      <c r="O1218" t="str" cm="1">
        <f t="array" ref="O1218">_xlfn.IFS(orders[[#This Row],[Customer Gender]] = "M", "Male",orders[[#This Row],[Customer Gender]] = "F", "Female",orders[[#This Row],[Customer Gender]] = "O", "Others",TRUE,"Unknown")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 - orders[[#This Row],[Order Date]]</f>
        <v>9</v>
      </c>
      <c r="N1219">
        <f>WEEKNUM(orders[[#This Row],[Order Date]])</f>
        <v>8</v>
      </c>
      <c r="O1219" t="str" cm="1">
        <f t="array" ref="O1219">_xlfn.IFS(orders[[#This Row],[Customer Gender]] = "M", "Male",orders[[#This Row],[Customer Gender]] = "F", "Female",orders[[#This Row],[Customer Gender]] = "O", "Others",TRUE,"Unknown")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 - orders[[#This Row],[Order Date]]</f>
        <v>5</v>
      </c>
      <c r="N1220">
        <f>WEEKNUM(orders[[#This Row],[Order Date]])</f>
        <v>8</v>
      </c>
      <c r="O1220" t="str" cm="1">
        <f t="array" ref="O1220">_xlfn.IFS(orders[[#This Row],[Customer Gender]] = "M", "Male",orders[[#This Row],[Customer Gender]] = "F", "Female",orders[[#This Row],[Customer Gender]] = "O", "Others",TRUE,"Unknown")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 - orders[[#This Row],[Order Date]]</f>
        <v>1</v>
      </c>
      <c r="N1221">
        <f>WEEKNUM(orders[[#This Row],[Order Date]])</f>
        <v>8</v>
      </c>
      <c r="O1221" t="str" cm="1">
        <f t="array" ref="O1221">_xlfn.IFS(orders[[#This Row],[Customer Gender]] = "M", "Male",orders[[#This Row],[Customer Gender]] = "F", "Female",orders[[#This Row],[Customer Gender]] = "O", "Others",TRUE,"Unknown")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 - orders[[#This Row],[Order Date]]</f>
        <v>1</v>
      </c>
      <c r="N1222">
        <f>WEEKNUM(orders[[#This Row],[Order Date]])</f>
        <v>8</v>
      </c>
      <c r="O1222" t="str" cm="1">
        <f t="array" ref="O1222">_xlfn.IFS(orders[[#This Row],[Customer Gender]] = "M", "Male",orders[[#This Row],[Customer Gender]] = "F", "Female",orders[[#This Row],[Customer Gender]] = "O", "Others",TRUE,"Unknown")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 - orders[[#This Row],[Order Date]]</f>
        <v>3</v>
      </c>
      <c r="N1223">
        <f>WEEKNUM(orders[[#This Row],[Order Date]])</f>
        <v>8</v>
      </c>
      <c r="O1223" t="str" cm="1">
        <f t="array" ref="O1223">_xlfn.IFS(orders[[#This Row],[Customer Gender]] = "M", "Male",orders[[#This Row],[Customer Gender]] = "F", "Female",orders[[#This Row],[Customer Gender]] = "O", "Others",TRUE,"Unknown")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 - orders[[#This Row],[Order Date]]</f>
        <v>2</v>
      </c>
      <c r="N1224">
        <f>WEEKNUM(orders[[#This Row],[Order Date]])</f>
        <v>8</v>
      </c>
      <c r="O1224" t="str" cm="1">
        <f t="array" ref="O1224">_xlfn.IFS(orders[[#This Row],[Customer Gender]] = "M", "Male",orders[[#This Row],[Customer Gender]] = "F", "Female",orders[[#This Row],[Customer Gender]] = "O", "Others",TRUE,"Unknown")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 - orders[[#This Row],[Order Date]]</f>
        <v>0</v>
      </c>
      <c r="N1225">
        <f>WEEKNUM(orders[[#This Row],[Order Date]])</f>
        <v>8</v>
      </c>
      <c r="O1225" t="str" cm="1">
        <f t="array" ref="O1225">_xlfn.IFS(orders[[#This Row],[Customer Gender]] = "M", "Male",orders[[#This Row],[Customer Gender]] = "F", "Female",orders[[#This Row],[Customer Gender]] = "O", "Others",TRUE,"Unknown")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 - orders[[#This Row],[Order Date]]</f>
        <v>3</v>
      </c>
      <c r="N1226">
        <f>WEEKNUM(orders[[#This Row],[Order Date]])</f>
        <v>8</v>
      </c>
      <c r="O1226" t="str" cm="1">
        <f t="array" ref="O1226">_xlfn.IFS(orders[[#This Row],[Customer Gender]] = "M", "Male",orders[[#This Row],[Customer Gender]] = "F", "Female",orders[[#This Row],[Customer Gender]] = "O", "Others",TRUE,"Unknown")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 - orders[[#This Row],[Order Date]]</f>
        <v>2</v>
      </c>
      <c r="N1227">
        <f>WEEKNUM(orders[[#This Row],[Order Date]])</f>
        <v>8</v>
      </c>
      <c r="O1227" t="str" cm="1">
        <f t="array" ref="O1227">_xlfn.IFS(orders[[#This Row],[Customer Gender]] = "M", "Male",orders[[#This Row],[Customer Gender]] = "F", "Female",orders[[#This Row],[Customer Gender]] = "O", "Others",TRUE,"Unknown")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 - orders[[#This Row],[Order Date]]</f>
        <v>9</v>
      </c>
      <c r="N1228">
        <f>WEEKNUM(orders[[#This Row],[Order Date]])</f>
        <v>8</v>
      </c>
      <c r="O1228" t="str" cm="1">
        <f t="array" ref="O1228">_xlfn.IFS(orders[[#This Row],[Customer Gender]] = "M", "Male",orders[[#This Row],[Customer Gender]] = "F", "Female",orders[[#This Row],[Customer Gender]] = "O", "Others",TRUE,"Unknown")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 - orders[[#This Row],[Order Date]]</f>
        <v>2</v>
      </c>
      <c r="N1229">
        <f>WEEKNUM(orders[[#This Row],[Order Date]])</f>
        <v>8</v>
      </c>
      <c r="O1229" t="str" cm="1">
        <f t="array" ref="O1229">_xlfn.IFS(orders[[#This Row],[Customer Gender]] = "M", "Male",orders[[#This Row],[Customer Gender]] = "F", "Female",orders[[#This Row],[Customer Gender]] = "O", "Others",TRUE,"Unknown")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 - orders[[#This Row],[Order Date]]</f>
        <v>3</v>
      </c>
      <c r="N1230">
        <f>WEEKNUM(orders[[#This Row],[Order Date]])</f>
        <v>8</v>
      </c>
      <c r="O1230" t="str" cm="1">
        <f t="array" ref="O1230">_xlfn.IFS(orders[[#This Row],[Customer Gender]] = "M", "Male",orders[[#This Row],[Customer Gender]] = "F", "Female",orders[[#This Row],[Customer Gender]] = "O", "Others",TRUE,"Unknown")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 - orders[[#This Row],[Order Date]]</f>
        <v>3</v>
      </c>
      <c r="N1231">
        <f>WEEKNUM(orders[[#This Row],[Order Date]])</f>
        <v>8</v>
      </c>
      <c r="O1231" t="str" cm="1">
        <f t="array" ref="O1231">_xlfn.IFS(orders[[#This Row],[Customer Gender]] = "M", "Male",orders[[#This Row],[Customer Gender]] = "F", "Female",orders[[#This Row],[Customer Gender]] = "O", "Others",TRUE,"Unknown")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 - orders[[#This Row],[Order Date]]</f>
        <v>4</v>
      </c>
      <c r="N1232">
        <f>WEEKNUM(orders[[#This Row],[Order Date]])</f>
        <v>8</v>
      </c>
      <c r="O1232" t="str" cm="1">
        <f t="array" ref="O1232">_xlfn.IFS(orders[[#This Row],[Customer Gender]] = "M", "Male",orders[[#This Row],[Customer Gender]] = "F", "Female",orders[[#This Row],[Customer Gender]] = "O", "Others",TRUE,"Unknown")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 - orders[[#This Row],[Order Date]]</f>
        <v>1</v>
      </c>
      <c r="N1233">
        <f>WEEKNUM(orders[[#This Row],[Order Date]])</f>
        <v>8</v>
      </c>
      <c r="O1233" t="str" cm="1">
        <f t="array" ref="O1233">_xlfn.IFS(orders[[#This Row],[Customer Gender]] = "M", "Male",orders[[#This Row],[Customer Gender]] = "F", "Female",orders[[#This Row],[Customer Gender]] = "O", "Others",TRUE,"Unknown")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 - orders[[#This Row],[Order Date]]</f>
        <v>3</v>
      </c>
      <c r="N1234">
        <f>WEEKNUM(orders[[#This Row],[Order Date]])</f>
        <v>8</v>
      </c>
      <c r="O1234" t="str" cm="1">
        <f t="array" ref="O1234">_xlfn.IFS(orders[[#This Row],[Customer Gender]] = "M", "Male",orders[[#This Row],[Customer Gender]] = "F", "Female",orders[[#This Row],[Customer Gender]] = "O", "Others",TRUE,"Unknown")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 - orders[[#This Row],[Order Date]]</f>
        <v>2</v>
      </c>
      <c r="N1235">
        <f>WEEKNUM(orders[[#This Row],[Order Date]])</f>
        <v>8</v>
      </c>
      <c r="O1235" t="str" cm="1">
        <f t="array" ref="O1235">_xlfn.IFS(orders[[#This Row],[Customer Gender]] = "M", "Male",orders[[#This Row],[Customer Gender]] = "F", "Female",orders[[#This Row],[Customer Gender]] = "O", "Others",TRUE,"Unknown")</f>
        <v>Others</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 - orders[[#This Row],[Order Date]]</f>
        <v>1</v>
      </c>
      <c r="N1236">
        <f>WEEKNUM(orders[[#This Row],[Order Date]])</f>
        <v>8</v>
      </c>
      <c r="O1236" t="str" cm="1">
        <f t="array" ref="O1236">_xlfn.IFS(orders[[#This Row],[Customer Gender]] = "M", "Male",orders[[#This Row],[Customer Gender]] = "F", "Female",orders[[#This Row],[Customer Gender]] = "O", "Others",TRUE,"Unknown")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 - orders[[#This Row],[Order Date]]</f>
        <v>1</v>
      </c>
      <c r="N1237">
        <f>WEEKNUM(orders[[#This Row],[Order Date]])</f>
        <v>8</v>
      </c>
      <c r="O1237" t="str" cm="1">
        <f t="array" ref="O1237">_xlfn.IFS(orders[[#This Row],[Customer Gender]] = "M", "Male",orders[[#This Row],[Customer Gender]] = "F", "Female",orders[[#This Row],[Customer Gender]] = "O", "Others",TRUE,"Unknown")</f>
        <v>Others</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 - orders[[#This Row],[Order Date]]</f>
        <v>2</v>
      </c>
      <c r="N1238">
        <f>WEEKNUM(orders[[#This Row],[Order Date]])</f>
        <v>8</v>
      </c>
      <c r="O1238" t="str" cm="1">
        <f t="array" ref="O1238">_xlfn.IFS(orders[[#This Row],[Customer Gender]] = "M", "Male",orders[[#This Row],[Customer Gender]] = "F", "Female",orders[[#This Row],[Customer Gender]] = "O", "Others",TRUE,"Unknown")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 - orders[[#This Row],[Order Date]]</f>
        <v>4</v>
      </c>
      <c r="N1239">
        <f>WEEKNUM(orders[[#This Row],[Order Date]])</f>
        <v>8</v>
      </c>
      <c r="O1239" t="str" cm="1">
        <f t="array" ref="O1239">_xlfn.IFS(orders[[#This Row],[Customer Gender]] = "M", "Male",orders[[#This Row],[Customer Gender]] = "F", "Female",orders[[#This Row],[Customer Gender]] = "O", "Others",TRUE,"Unknown")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 - orders[[#This Row],[Order Date]]</f>
        <v>1</v>
      </c>
      <c r="N1240">
        <f>WEEKNUM(orders[[#This Row],[Order Date]])</f>
        <v>8</v>
      </c>
      <c r="O1240" t="str" cm="1">
        <f t="array" ref="O1240">_xlfn.IFS(orders[[#This Row],[Customer Gender]] = "M", "Male",orders[[#This Row],[Customer Gender]] = "F", "Female",orders[[#This Row],[Customer Gender]] = "O", "Others",TRUE,"Unknown")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 - orders[[#This Row],[Order Date]]</f>
        <v>8</v>
      </c>
      <c r="N1241">
        <f>WEEKNUM(orders[[#This Row],[Order Date]])</f>
        <v>8</v>
      </c>
      <c r="O1241" t="str" cm="1">
        <f t="array" ref="O1241">_xlfn.IFS(orders[[#This Row],[Customer Gender]] = "M", "Male",orders[[#This Row],[Customer Gender]] = "F", "Female",orders[[#This Row],[Customer Gender]] = "O", "Others",TRUE,"Unknown")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 - orders[[#This Row],[Order Date]]</f>
        <v>1</v>
      </c>
      <c r="N1242">
        <f>WEEKNUM(orders[[#This Row],[Order Date]])</f>
        <v>8</v>
      </c>
      <c r="O1242" t="str" cm="1">
        <f t="array" ref="O1242">_xlfn.IFS(orders[[#This Row],[Customer Gender]] = "M", "Male",orders[[#This Row],[Customer Gender]] = "F", "Female",orders[[#This Row],[Customer Gender]] = "O", "Others",TRUE,"Unknown")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 - orders[[#This Row],[Order Date]]</f>
        <v>6</v>
      </c>
      <c r="N1243">
        <f>WEEKNUM(orders[[#This Row],[Order Date]])</f>
        <v>8</v>
      </c>
      <c r="O1243" t="str" cm="1">
        <f t="array" ref="O1243">_xlfn.IFS(orders[[#This Row],[Customer Gender]] = "M", "Male",orders[[#This Row],[Customer Gender]] = "F", "Female",orders[[#This Row],[Customer Gender]] = "O", "Others",TRUE,"Unknown")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 - orders[[#This Row],[Order Date]]</f>
        <v>3</v>
      </c>
      <c r="N1244">
        <f>WEEKNUM(orders[[#This Row],[Order Date]])</f>
        <v>8</v>
      </c>
      <c r="O1244" t="str" cm="1">
        <f t="array" ref="O1244">_xlfn.IFS(orders[[#This Row],[Customer Gender]] = "M", "Male",orders[[#This Row],[Customer Gender]] = "F", "Female",orders[[#This Row],[Customer Gender]] = "O", "Others",TRUE,"Unknown")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 - orders[[#This Row],[Order Date]]</f>
        <v>2</v>
      </c>
      <c r="N1245">
        <f>WEEKNUM(orders[[#This Row],[Order Date]])</f>
        <v>8</v>
      </c>
      <c r="O1245" t="str" cm="1">
        <f t="array" ref="O1245">_xlfn.IFS(orders[[#This Row],[Customer Gender]] = "M", "Male",orders[[#This Row],[Customer Gender]] = "F", "Female",orders[[#This Row],[Customer Gender]] = "O", "Others",TRUE,"Unknown")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 - orders[[#This Row],[Order Date]]</f>
        <v>2</v>
      </c>
      <c r="N1246">
        <f>WEEKNUM(orders[[#This Row],[Order Date]])</f>
        <v>8</v>
      </c>
      <c r="O1246" t="str" cm="1">
        <f t="array" ref="O1246">_xlfn.IFS(orders[[#This Row],[Customer Gender]] = "M", "Male",orders[[#This Row],[Customer Gender]] = "F", "Female",orders[[#This Row],[Customer Gender]] = "O", "Others",TRUE,"Unknown")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 - orders[[#This Row],[Order Date]]</f>
        <v>1</v>
      </c>
      <c r="N1247">
        <f>WEEKNUM(orders[[#This Row],[Order Date]])</f>
        <v>8</v>
      </c>
      <c r="O1247" t="str" cm="1">
        <f t="array" ref="O1247">_xlfn.IFS(orders[[#This Row],[Customer Gender]] = "M", "Male",orders[[#This Row],[Customer Gender]] = "F", "Female",orders[[#This Row],[Customer Gender]] = "O", "Others",TRUE,"Unknown")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 - orders[[#This Row],[Order Date]]</f>
        <v>1</v>
      </c>
      <c r="N1248">
        <f>WEEKNUM(orders[[#This Row],[Order Date]])</f>
        <v>8</v>
      </c>
      <c r="O1248" t="str" cm="1">
        <f t="array" ref="O1248">_xlfn.IFS(orders[[#This Row],[Customer Gender]] = "M", "Male",orders[[#This Row],[Customer Gender]] = "F", "Female",orders[[#This Row],[Customer Gender]] = "O", "Others",TRUE,"Unknown")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 - orders[[#This Row],[Order Date]]</f>
        <v>3</v>
      </c>
      <c r="N1249">
        <f>WEEKNUM(orders[[#This Row],[Order Date]])</f>
        <v>8</v>
      </c>
      <c r="O1249" t="str" cm="1">
        <f t="array" ref="O1249">_xlfn.IFS(orders[[#This Row],[Customer Gender]] = "M", "Male",orders[[#This Row],[Customer Gender]] = "F", "Female",orders[[#This Row],[Customer Gender]] = "O", "Others",TRUE,"Unknown")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 - orders[[#This Row],[Order Date]]</f>
        <v>0</v>
      </c>
      <c r="N1250">
        <f>WEEKNUM(orders[[#This Row],[Order Date]])</f>
        <v>8</v>
      </c>
      <c r="O1250" t="str" cm="1">
        <f t="array" ref="O1250">_xlfn.IFS(orders[[#This Row],[Customer Gender]] = "M", "Male",orders[[#This Row],[Customer Gender]] = "F", "Female",orders[[#This Row],[Customer Gender]] = "O", "Others",TRUE,"Unknown")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 - orders[[#This Row],[Order Date]]</f>
        <v>2</v>
      </c>
      <c r="N1251">
        <f>WEEKNUM(orders[[#This Row],[Order Date]])</f>
        <v>8</v>
      </c>
      <c r="O1251" t="str" cm="1">
        <f t="array" ref="O1251">_xlfn.IFS(orders[[#This Row],[Customer Gender]] = "M", "Male",orders[[#This Row],[Customer Gender]] = "F", "Female",orders[[#This Row],[Customer Gender]] = "O", "Others",TRUE,"Unknown")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 - orders[[#This Row],[Order Date]]</f>
        <v>5</v>
      </c>
      <c r="N1252">
        <f>WEEKNUM(orders[[#This Row],[Order Date]])</f>
        <v>8</v>
      </c>
      <c r="O1252" t="str" cm="1">
        <f t="array" ref="O1252">_xlfn.IFS(orders[[#This Row],[Customer Gender]] = "M", "Male",orders[[#This Row],[Customer Gender]] = "F", "Female",orders[[#This Row],[Customer Gender]] = "O", "Others",TRUE,"Unknown")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 - orders[[#This Row],[Order Date]]</f>
        <v>5</v>
      </c>
      <c r="N1253">
        <f>WEEKNUM(orders[[#This Row],[Order Date]])</f>
        <v>8</v>
      </c>
      <c r="O1253" t="str" cm="1">
        <f t="array" ref="O1253">_xlfn.IFS(orders[[#This Row],[Customer Gender]] = "M", "Male",orders[[#This Row],[Customer Gender]] = "F", "Female",orders[[#This Row],[Customer Gender]] = "O", "Others",TRUE,"Unknown")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 - orders[[#This Row],[Order Date]]</f>
        <v>1</v>
      </c>
      <c r="N1254">
        <f>WEEKNUM(orders[[#This Row],[Order Date]])</f>
        <v>8</v>
      </c>
      <c r="O1254" t="str" cm="1">
        <f t="array" ref="O1254">_xlfn.IFS(orders[[#This Row],[Customer Gender]] = "M", "Male",orders[[#This Row],[Customer Gender]] = "F", "Female",orders[[#This Row],[Customer Gender]] = "O", "Others",TRUE,"Unknown")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 - orders[[#This Row],[Order Date]]</f>
        <v>0</v>
      </c>
      <c r="N1255">
        <f>WEEKNUM(orders[[#This Row],[Order Date]])</f>
        <v>8</v>
      </c>
      <c r="O1255" t="str" cm="1">
        <f t="array" ref="O1255">_xlfn.IFS(orders[[#This Row],[Customer Gender]] = "M", "Male",orders[[#This Row],[Customer Gender]] = "F", "Female",orders[[#This Row],[Customer Gender]] = "O", "Others",TRUE,"Unknown")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 - orders[[#This Row],[Order Date]]</f>
        <v>1</v>
      </c>
      <c r="N1256">
        <f>WEEKNUM(orders[[#This Row],[Order Date]])</f>
        <v>8</v>
      </c>
      <c r="O1256" t="str" cm="1">
        <f t="array" ref="O1256">_xlfn.IFS(orders[[#This Row],[Customer Gender]] = "M", "Male",orders[[#This Row],[Customer Gender]] = "F", "Female",orders[[#This Row],[Customer Gender]] = "O", "Others",TRUE,"Unknown")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 - orders[[#This Row],[Order Date]]</f>
        <v>1</v>
      </c>
      <c r="N1257">
        <f>WEEKNUM(orders[[#This Row],[Order Date]])</f>
        <v>8</v>
      </c>
      <c r="O1257" t="str" cm="1">
        <f t="array" ref="O1257">_xlfn.IFS(orders[[#This Row],[Customer Gender]] = "M", "Male",orders[[#This Row],[Customer Gender]] = "F", "Female",orders[[#This Row],[Customer Gender]] = "O", "Others",TRUE,"Unknown")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 - orders[[#This Row],[Order Date]]</f>
        <v>2</v>
      </c>
      <c r="N1258">
        <f>WEEKNUM(orders[[#This Row],[Order Date]])</f>
        <v>8</v>
      </c>
      <c r="O1258" t="str" cm="1">
        <f t="array" ref="O1258">_xlfn.IFS(orders[[#This Row],[Customer Gender]] = "M", "Male",orders[[#This Row],[Customer Gender]] = "F", "Female",orders[[#This Row],[Customer Gender]] = "O", "Others",TRUE,"Unknown")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 - orders[[#This Row],[Order Date]]</f>
        <v>1</v>
      </c>
      <c r="N1259">
        <f>WEEKNUM(orders[[#This Row],[Order Date]])</f>
        <v>8</v>
      </c>
      <c r="O1259" t="str" cm="1">
        <f t="array" ref="O1259">_xlfn.IFS(orders[[#This Row],[Customer Gender]] = "M", "Male",orders[[#This Row],[Customer Gender]] = "F", "Female",orders[[#This Row],[Customer Gender]] = "O", "Others",TRUE,"Unknown")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 - orders[[#This Row],[Order Date]]</f>
        <v>1</v>
      </c>
      <c r="N1260">
        <f>WEEKNUM(orders[[#This Row],[Order Date]])</f>
        <v>8</v>
      </c>
      <c r="O1260" t="str" cm="1">
        <f t="array" ref="O1260">_xlfn.IFS(orders[[#This Row],[Customer Gender]] = "M", "Male",orders[[#This Row],[Customer Gender]] = "F", "Female",orders[[#This Row],[Customer Gender]] = "O", "Others",TRUE,"Unknown")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 - orders[[#This Row],[Order Date]]</f>
        <v>2</v>
      </c>
      <c r="N1261">
        <f>WEEKNUM(orders[[#This Row],[Order Date]])</f>
        <v>8</v>
      </c>
      <c r="O1261" t="str" cm="1">
        <f t="array" ref="O1261">_xlfn.IFS(orders[[#This Row],[Customer Gender]] = "M", "Male",orders[[#This Row],[Customer Gender]] = "F", "Female",orders[[#This Row],[Customer Gender]] = "O", "Others",TRUE,"Unknown")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 - orders[[#This Row],[Order Date]]</f>
        <v>1</v>
      </c>
      <c r="N1262">
        <f>WEEKNUM(orders[[#This Row],[Order Date]])</f>
        <v>8</v>
      </c>
      <c r="O1262" t="str" cm="1">
        <f t="array" ref="O1262">_xlfn.IFS(orders[[#This Row],[Customer Gender]] = "M", "Male",orders[[#This Row],[Customer Gender]] = "F", "Female",orders[[#This Row],[Customer Gender]] = "O", "Others",TRUE,"Unknown")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 - orders[[#This Row],[Order Date]]</f>
        <v>1</v>
      </c>
      <c r="N1263">
        <f>WEEKNUM(orders[[#This Row],[Order Date]])</f>
        <v>8</v>
      </c>
      <c r="O1263" t="str" cm="1">
        <f t="array" ref="O1263">_xlfn.IFS(orders[[#This Row],[Customer Gender]] = "M", "Male",orders[[#This Row],[Customer Gender]] = "F", "Female",orders[[#This Row],[Customer Gender]] = "O", "Others",TRUE,"Unknown")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 - orders[[#This Row],[Order Date]]</f>
        <v>2</v>
      </c>
      <c r="N1264">
        <f>WEEKNUM(orders[[#This Row],[Order Date]])</f>
        <v>8</v>
      </c>
      <c r="O1264" t="str" cm="1">
        <f t="array" ref="O1264">_xlfn.IFS(orders[[#This Row],[Customer Gender]] = "M", "Male",orders[[#This Row],[Customer Gender]] = "F", "Female",orders[[#This Row],[Customer Gender]] = "O", "Others",TRUE,"Unknown")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 - orders[[#This Row],[Order Date]]</f>
        <v>0</v>
      </c>
      <c r="N1265">
        <f>WEEKNUM(orders[[#This Row],[Order Date]])</f>
        <v>8</v>
      </c>
      <c r="O1265" t="str" cm="1">
        <f t="array" ref="O1265">_xlfn.IFS(orders[[#This Row],[Customer Gender]] = "M", "Male",orders[[#This Row],[Customer Gender]] = "F", "Female",orders[[#This Row],[Customer Gender]] = "O", "Others",TRUE,"Unknown")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 - orders[[#This Row],[Order Date]]</f>
        <v>3</v>
      </c>
      <c r="N1266">
        <f>WEEKNUM(orders[[#This Row],[Order Date]])</f>
        <v>8</v>
      </c>
      <c r="O1266" t="str" cm="1">
        <f t="array" ref="O1266">_xlfn.IFS(orders[[#This Row],[Customer Gender]] = "M", "Male",orders[[#This Row],[Customer Gender]] = "F", "Female",orders[[#This Row],[Customer Gender]] = "O", "Others",TRUE,"Unknown")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 - orders[[#This Row],[Order Date]]</f>
        <v>2</v>
      </c>
      <c r="N1267">
        <f>WEEKNUM(orders[[#This Row],[Order Date]])</f>
        <v>8</v>
      </c>
      <c r="O1267" t="str" cm="1">
        <f t="array" ref="O1267">_xlfn.IFS(orders[[#This Row],[Customer Gender]] = "M", "Male",orders[[#This Row],[Customer Gender]] = "F", "Female",orders[[#This Row],[Customer Gender]] = "O", "Others",TRUE,"Unknown")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 - orders[[#This Row],[Order Date]]</f>
        <v>2</v>
      </c>
      <c r="N1268">
        <f>WEEKNUM(orders[[#This Row],[Order Date]])</f>
        <v>8</v>
      </c>
      <c r="O1268" t="str" cm="1">
        <f t="array" ref="O1268">_xlfn.IFS(orders[[#This Row],[Customer Gender]] = "M", "Male",orders[[#This Row],[Customer Gender]] = "F", "Female",orders[[#This Row],[Customer Gender]] = "O", "Others",TRUE,"Unknown")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 - orders[[#This Row],[Order Date]]</f>
        <v>3</v>
      </c>
      <c r="N1269">
        <f>WEEKNUM(orders[[#This Row],[Order Date]])</f>
        <v>8</v>
      </c>
      <c r="O1269" t="str" cm="1">
        <f t="array" ref="O1269">_xlfn.IFS(orders[[#This Row],[Customer Gender]] = "M", "Male",orders[[#This Row],[Customer Gender]] = "F", "Female",orders[[#This Row],[Customer Gender]] = "O", "Others",TRUE,"Unknown")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 - orders[[#This Row],[Order Date]]</f>
        <v>4</v>
      </c>
      <c r="N1270">
        <f>WEEKNUM(orders[[#This Row],[Order Date]])</f>
        <v>8</v>
      </c>
      <c r="O1270" t="str" cm="1">
        <f t="array" ref="O1270">_xlfn.IFS(orders[[#This Row],[Customer Gender]] = "M", "Male",orders[[#This Row],[Customer Gender]] = "F", "Female",orders[[#This Row],[Customer Gender]] = "O", "Others",TRUE,"Unknown")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 - orders[[#This Row],[Order Date]]</f>
        <v>3</v>
      </c>
      <c r="N1271">
        <f>WEEKNUM(orders[[#This Row],[Order Date]])</f>
        <v>8</v>
      </c>
      <c r="O1271" t="str" cm="1">
        <f t="array" ref="O1271">_xlfn.IFS(orders[[#This Row],[Customer Gender]] = "M", "Male",orders[[#This Row],[Customer Gender]] = "F", "Female",orders[[#This Row],[Customer Gender]] = "O", "Others",TRUE,"Unknown")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 - orders[[#This Row],[Order Date]]</f>
        <v>1</v>
      </c>
      <c r="N1272">
        <f>WEEKNUM(orders[[#This Row],[Order Date]])</f>
        <v>8</v>
      </c>
      <c r="O1272" t="str" cm="1">
        <f t="array" ref="O1272">_xlfn.IFS(orders[[#This Row],[Customer Gender]] = "M", "Male",orders[[#This Row],[Customer Gender]] = "F", "Female",orders[[#This Row],[Customer Gender]] = "O", "Others",TRUE,"Unknown")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 - orders[[#This Row],[Order Date]]</f>
        <v>0</v>
      </c>
      <c r="N1273">
        <f>WEEKNUM(orders[[#This Row],[Order Date]])</f>
        <v>8</v>
      </c>
      <c r="O1273" t="str" cm="1">
        <f t="array" ref="O1273">_xlfn.IFS(orders[[#This Row],[Customer Gender]] = "M", "Male",orders[[#This Row],[Customer Gender]] = "F", "Female",orders[[#This Row],[Customer Gender]] = "O", "Others",TRUE,"Unknown")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 - orders[[#This Row],[Order Date]]</f>
        <v>3</v>
      </c>
      <c r="N1274">
        <f>WEEKNUM(orders[[#This Row],[Order Date]])</f>
        <v>8</v>
      </c>
      <c r="O1274" t="str" cm="1">
        <f t="array" ref="O1274">_xlfn.IFS(orders[[#This Row],[Customer Gender]] = "M", "Male",orders[[#This Row],[Customer Gender]] = "F", "Female",orders[[#This Row],[Customer Gender]] = "O", "Others",TRUE,"Unknown")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 - orders[[#This Row],[Order Date]]</f>
        <v>0</v>
      </c>
      <c r="N1275">
        <f>WEEKNUM(orders[[#This Row],[Order Date]])</f>
        <v>8</v>
      </c>
      <c r="O1275" t="str" cm="1">
        <f t="array" ref="O1275">_xlfn.IFS(orders[[#This Row],[Customer Gender]] = "M", "Male",orders[[#This Row],[Customer Gender]] = "F", "Female",orders[[#This Row],[Customer Gender]] = "O", "Others",TRUE,"Unknown")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 - orders[[#This Row],[Order Date]]</f>
        <v>2</v>
      </c>
      <c r="N1276">
        <f>WEEKNUM(orders[[#This Row],[Order Date]])</f>
        <v>8</v>
      </c>
      <c r="O1276" t="str" cm="1">
        <f t="array" ref="O1276">_xlfn.IFS(orders[[#This Row],[Customer Gender]] = "M", "Male",orders[[#This Row],[Customer Gender]] = "F", "Female",orders[[#This Row],[Customer Gender]] = "O", "Others",TRUE,"Unknown")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 - orders[[#This Row],[Order Date]]</f>
        <v>1</v>
      </c>
      <c r="N1277">
        <f>WEEKNUM(orders[[#This Row],[Order Date]])</f>
        <v>8</v>
      </c>
      <c r="O1277" t="str" cm="1">
        <f t="array" ref="O1277">_xlfn.IFS(orders[[#This Row],[Customer Gender]] = "M", "Male",orders[[#This Row],[Customer Gender]] = "F", "Female",orders[[#This Row],[Customer Gender]] = "O", "Others",TRUE,"Unknown")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 - orders[[#This Row],[Order Date]]</f>
        <v>2</v>
      </c>
      <c r="N1278">
        <f>WEEKNUM(orders[[#This Row],[Order Date]])</f>
        <v>8</v>
      </c>
      <c r="O1278" t="str" cm="1">
        <f t="array" ref="O1278">_xlfn.IFS(orders[[#This Row],[Customer Gender]] = "M", "Male",orders[[#This Row],[Customer Gender]] = "F", "Female",orders[[#This Row],[Customer Gender]] = "O", "Others",TRUE,"Unknown")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 - orders[[#This Row],[Order Date]]</f>
        <v>1</v>
      </c>
      <c r="N1279">
        <f>WEEKNUM(orders[[#This Row],[Order Date]])</f>
        <v>8</v>
      </c>
      <c r="O1279" t="str" cm="1">
        <f t="array" ref="O1279">_xlfn.IFS(orders[[#This Row],[Customer Gender]] = "M", "Male",orders[[#This Row],[Customer Gender]] = "F", "Female",orders[[#This Row],[Customer Gender]] = "O", "Others",TRUE,"Unknown")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 - orders[[#This Row],[Order Date]]</f>
        <v>1</v>
      </c>
      <c r="N1280">
        <f>WEEKNUM(orders[[#This Row],[Order Date]])</f>
        <v>8</v>
      </c>
      <c r="O1280" t="str" cm="1">
        <f t="array" ref="O1280">_xlfn.IFS(orders[[#This Row],[Customer Gender]] = "M", "Male",orders[[#This Row],[Customer Gender]] = "F", "Female",orders[[#This Row],[Customer Gender]] = "O", "Others",TRUE,"Unknown")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 - orders[[#This Row],[Order Date]]</f>
        <v>1</v>
      </c>
      <c r="N1281">
        <f>WEEKNUM(orders[[#This Row],[Order Date]])</f>
        <v>8</v>
      </c>
      <c r="O1281" t="str" cm="1">
        <f t="array" ref="O1281">_xlfn.IFS(orders[[#This Row],[Customer Gender]] = "M", "Male",orders[[#This Row],[Customer Gender]] = "F", "Female",orders[[#This Row],[Customer Gender]] = "O", "Others",TRUE,"Unknown")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 - orders[[#This Row],[Order Date]]</f>
        <v>4</v>
      </c>
      <c r="N1282">
        <f>WEEKNUM(orders[[#This Row],[Order Date]])</f>
        <v>8</v>
      </c>
      <c r="O1282" t="str" cm="1">
        <f t="array" ref="O1282">_xlfn.IFS(orders[[#This Row],[Customer Gender]] = "M", "Male",orders[[#This Row],[Customer Gender]] = "F", "Female",orders[[#This Row],[Customer Gender]] = "O", "Others",TRUE,"Unknown")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 - orders[[#This Row],[Order Date]]</f>
        <v>1</v>
      </c>
      <c r="N1283">
        <f>WEEKNUM(orders[[#This Row],[Order Date]])</f>
        <v>8</v>
      </c>
      <c r="O1283" t="str" cm="1">
        <f t="array" ref="O1283">_xlfn.IFS(orders[[#This Row],[Customer Gender]] = "M", "Male",orders[[#This Row],[Customer Gender]] = "F", "Female",orders[[#This Row],[Customer Gender]] = "O", "Others",TRUE,"Unknown")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 - orders[[#This Row],[Order Date]]</f>
        <v>0</v>
      </c>
      <c r="N1284">
        <f>WEEKNUM(orders[[#This Row],[Order Date]])</f>
        <v>8</v>
      </c>
      <c r="O1284" t="str" cm="1">
        <f t="array" ref="O1284">_xlfn.IFS(orders[[#This Row],[Customer Gender]] = "M", "Male",orders[[#This Row],[Customer Gender]] = "F", "Female",orders[[#This Row],[Customer Gender]] = "O", "Others",TRUE,"Unknown")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 - orders[[#This Row],[Order Date]]</f>
        <v>1</v>
      </c>
      <c r="N1285">
        <f>WEEKNUM(orders[[#This Row],[Order Date]])</f>
        <v>8</v>
      </c>
      <c r="O1285" t="str" cm="1">
        <f t="array" ref="O1285">_xlfn.IFS(orders[[#This Row],[Customer Gender]] = "M", "Male",orders[[#This Row],[Customer Gender]] = "F", "Female",orders[[#This Row],[Customer Gender]] = "O", "Others",TRUE,"Unknown")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 - orders[[#This Row],[Order Date]]</f>
        <v>1</v>
      </c>
      <c r="N1286">
        <f>WEEKNUM(orders[[#This Row],[Order Date]])</f>
        <v>8</v>
      </c>
      <c r="O1286" t="str" cm="1">
        <f t="array" ref="O1286">_xlfn.IFS(orders[[#This Row],[Customer Gender]] = "M", "Male",orders[[#This Row],[Customer Gender]] = "F", "Female",orders[[#This Row],[Customer Gender]] = "O", "Others",TRUE,"Unknown")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 - orders[[#This Row],[Order Date]]</f>
        <v>1</v>
      </c>
      <c r="N1287">
        <f>WEEKNUM(orders[[#This Row],[Order Date]])</f>
        <v>8</v>
      </c>
      <c r="O1287" t="str" cm="1">
        <f t="array" ref="O1287">_xlfn.IFS(orders[[#This Row],[Customer Gender]] = "M", "Male",orders[[#This Row],[Customer Gender]] = "F", "Female",orders[[#This Row],[Customer Gender]] = "O", "Others",TRUE,"Unknown")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 - orders[[#This Row],[Order Date]]</f>
        <v>3</v>
      </c>
      <c r="N1288">
        <f>WEEKNUM(orders[[#This Row],[Order Date]])</f>
        <v>8</v>
      </c>
      <c r="O1288" t="str" cm="1">
        <f t="array" ref="O1288">_xlfn.IFS(orders[[#This Row],[Customer Gender]] = "M", "Male",orders[[#This Row],[Customer Gender]] = "F", "Female",orders[[#This Row],[Customer Gender]] = "O", "Others",TRUE,"Unknown")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 - orders[[#This Row],[Order Date]]</f>
        <v>1</v>
      </c>
      <c r="N1289">
        <f>WEEKNUM(orders[[#This Row],[Order Date]])</f>
        <v>8</v>
      </c>
      <c r="O1289" t="str" cm="1">
        <f t="array" ref="O1289">_xlfn.IFS(orders[[#This Row],[Customer Gender]] = "M", "Male",orders[[#This Row],[Customer Gender]] = "F", "Female",orders[[#This Row],[Customer Gender]] = "O", "Others",TRUE,"Unknown")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 - orders[[#This Row],[Order Date]]</f>
        <v>3</v>
      </c>
      <c r="N1290">
        <f>WEEKNUM(orders[[#This Row],[Order Date]])</f>
        <v>8</v>
      </c>
      <c r="O1290" t="str" cm="1">
        <f t="array" ref="O1290">_xlfn.IFS(orders[[#This Row],[Customer Gender]] = "M", "Male",orders[[#This Row],[Customer Gender]] = "F", "Female",orders[[#This Row],[Customer Gender]] = "O", "Others",TRUE,"Unknown")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 - orders[[#This Row],[Order Date]]</f>
        <v>1</v>
      </c>
      <c r="N1291">
        <f>WEEKNUM(orders[[#This Row],[Order Date]])</f>
        <v>8</v>
      </c>
      <c r="O1291" t="str" cm="1">
        <f t="array" ref="O1291">_xlfn.IFS(orders[[#This Row],[Customer Gender]] = "M", "Male",orders[[#This Row],[Customer Gender]] = "F", "Female",orders[[#This Row],[Customer Gender]] = "O", "Others",TRUE,"Unknown")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 - orders[[#This Row],[Order Date]]</f>
        <v>7</v>
      </c>
      <c r="N1292">
        <f>WEEKNUM(orders[[#This Row],[Order Date]])</f>
        <v>8</v>
      </c>
      <c r="O1292" t="str" cm="1">
        <f t="array" ref="O1292">_xlfn.IFS(orders[[#This Row],[Customer Gender]] = "M", "Male",orders[[#This Row],[Customer Gender]] = "F", "Female",orders[[#This Row],[Customer Gender]] = "O", "Others",TRUE,"Unknown")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 - orders[[#This Row],[Order Date]]</f>
        <v>0</v>
      </c>
      <c r="N1293">
        <f>WEEKNUM(orders[[#This Row],[Order Date]])</f>
        <v>8</v>
      </c>
      <c r="O1293" t="str" cm="1">
        <f t="array" ref="O1293">_xlfn.IFS(orders[[#This Row],[Customer Gender]] = "M", "Male",orders[[#This Row],[Customer Gender]] = "F", "Female",orders[[#This Row],[Customer Gender]] = "O", "Others",TRUE,"Unknown")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 - orders[[#This Row],[Order Date]]</f>
        <v>5</v>
      </c>
      <c r="N1294">
        <f>WEEKNUM(orders[[#This Row],[Order Date]])</f>
        <v>8</v>
      </c>
      <c r="O1294" t="str" cm="1">
        <f t="array" ref="O1294">_xlfn.IFS(orders[[#This Row],[Customer Gender]] = "M", "Male",orders[[#This Row],[Customer Gender]] = "F", "Female",orders[[#This Row],[Customer Gender]] = "O", "Others",TRUE,"Unknown")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 - orders[[#This Row],[Order Date]]</f>
        <v>1</v>
      </c>
      <c r="N1295">
        <f>WEEKNUM(orders[[#This Row],[Order Date]])</f>
        <v>8</v>
      </c>
      <c r="O1295" t="str" cm="1">
        <f t="array" ref="O1295">_xlfn.IFS(orders[[#This Row],[Customer Gender]] = "M", "Male",orders[[#This Row],[Customer Gender]] = "F", "Female",orders[[#This Row],[Customer Gender]] = "O", "Others",TRUE,"Unknown")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 - orders[[#This Row],[Order Date]]</f>
        <v>4</v>
      </c>
      <c r="N1296">
        <f>WEEKNUM(orders[[#This Row],[Order Date]])</f>
        <v>8</v>
      </c>
      <c r="O1296" t="str" cm="1">
        <f t="array" ref="O1296">_xlfn.IFS(orders[[#This Row],[Customer Gender]] = "M", "Male",orders[[#This Row],[Customer Gender]] = "F", "Female",orders[[#This Row],[Customer Gender]] = "O", "Others",TRUE,"Unknown")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 - orders[[#This Row],[Order Date]]</f>
        <v>2</v>
      </c>
      <c r="N1297">
        <f>WEEKNUM(orders[[#This Row],[Order Date]])</f>
        <v>8</v>
      </c>
      <c r="O1297" t="str" cm="1">
        <f t="array" ref="O1297">_xlfn.IFS(orders[[#This Row],[Customer Gender]] = "M", "Male",orders[[#This Row],[Customer Gender]] = "F", "Female",orders[[#This Row],[Customer Gender]] = "O", "Others",TRUE,"Unknown")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 - orders[[#This Row],[Order Date]]</f>
        <v>3</v>
      </c>
      <c r="N1298">
        <f>WEEKNUM(orders[[#This Row],[Order Date]])</f>
        <v>8</v>
      </c>
      <c r="O1298" t="str" cm="1">
        <f t="array" ref="O1298">_xlfn.IFS(orders[[#This Row],[Customer Gender]] = "M", "Male",orders[[#This Row],[Customer Gender]] = "F", "Female",orders[[#This Row],[Customer Gender]] = "O", "Others",TRUE,"Unknown")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 - orders[[#This Row],[Order Date]]</f>
        <v>1</v>
      </c>
      <c r="N1299">
        <f>WEEKNUM(orders[[#This Row],[Order Date]])</f>
        <v>8</v>
      </c>
      <c r="O1299" t="str" cm="1">
        <f t="array" ref="O1299">_xlfn.IFS(orders[[#This Row],[Customer Gender]] = "M", "Male",orders[[#This Row],[Customer Gender]] = "F", "Female",orders[[#This Row],[Customer Gender]] = "O", "Others",TRUE,"Unknown")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 - orders[[#This Row],[Order Date]]</f>
        <v>5</v>
      </c>
      <c r="N1300">
        <f>WEEKNUM(orders[[#This Row],[Order Date]])</f>
        <v>8</v>
      </c>
      <c r="O1300" t="str" cm="1">
        <f t="array" ref="O1300">_xlfn.IFS(orders[[#This Row],[Customer Gender]] = "M", "Male",orders[[#This Row],[Customer Gender]] = "F", "Female",orders[[#This Row],[Customer Gender]] = "O", "Others",TRUE,"Unknown")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 - orders[[#This Row],[Order Date]]</f>
        <v>1</v>
      </c>
      <c r="N1301">
        <f>WEEKNUM(orders[[#This Row],[Order Date]])</f>
        <v>8</v>
      </c>
      <c r="O1301" t="str" cm="1">
        <f t="array" ref="O1301">_xlfn.IFS(orders[[#This Row],[Customer Gender]] = "M", "Male",orders[[#This Row],[Customer Gender]] = "F", "Female",orders[[#This Row],[Customer Gender]] = "O", "Others",TRUE,"Unknown")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 - orders[[#This Row],[Order Date]]</f>
        <v>1</v>
      </c>
      <c r="N1302">
        <f>WEEKNUM(orders[[#This Row],[Order Date]])</f>
        <v>8</v>
      </c>
      <c r="O1302" t="str" cm="1">
        <f t="array" ref="O1302">_xlfn.IFS(orders[[#This Row],[Customer Gender]] = "M", "Male",orders[[#This Row],[Customer Gender]] = "F", "Female",orders[[#This Row],[Customer Gender]] = "O", "Others",TRUE,"Unknown")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 - orders[[#This Row],[Order Date]]</f>
        <v>1</v>
      </c>
      <c r="N1303">
        <f>WEEKNUM(orders[[#This Row],[Order Date]])</f>
        <v>8</v>
      </c>
      <c r="O1303" t="str" cm="1">
        <f t="array" ref="O1303">_xlfn.IFS(orders[[#This Row],[Customer Gender]] = "M", "Male",orders[[#This Row],[Customer Gender]] = "F", "Female",orders[[#This Row],[Customer Gender]] = "O", "Others",TRUE,"Unknown")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 - orders[[#This Row],[Order Date]]</f>
        <v>5</v>
      </c>
      <c r="N1304">
        <f>WEEKNUM(orders[[#This Row],[Order Date]])</f>
        <v>8</v>
      </c>
      <c r="O1304" t="str" cm="1">
        <f t="array" ref="O1304">_xlfn.IFS(orders[[#This Row],[Customer Gender]] = "M", "Male",orders[[#This Row],[Customer Gender]] = "F", "Female",orders[[#This Row],[Customer Gender]] = "O", "Others",TRUE,"Unknown")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 - orders[[#This Row],[Order Date]]</f>
        <v>2</v>
      </c>
      <c r="N1305">
        <f>WEEKNUM(orders[[#This Row],[Order Date]])</f>
        <v>8</v>
      </c>
      <c r="O1305" t="str" cm="1">
        <f t="array" ref="O1305">_xlfn.IFS(orders[[#This Row],[Customer Gender]] = "M", "Male",orders[[#This Row],[Customer Gender]] = "F", "Female",orders[[#This Row],[Customer Gender]] = "O", "Others",TRUE,"Unknown")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 - orders[[#This Row],[Order Date]]</f>
        <v>1</v>
      </c>
      <c r="N1306">
        <f>WEEKNUM(orders[[#This Row],[Order Date]])</f>
        <v>8</v>
      </c>
      <c r="O1306" t="str" cm="1">
        <f t="array" ref="O1306">_xlfn.IFS(orders[[#This Row],[Customer Gender]] = "M", "Male",orders[[#This Row],[Customer Gender]] = "F", "Female",orders[[#This Row],[Customer Gender]] = "O", "Others",TRUE,"Unknown")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 - orders[[#This Row],[Order Date]]</f>
        <v>9</v>
      </c>
      <c r="N1307">
        <f>WEEKNUM(orders[[#This Row],[Order Date]])</f>
        <v>8</v>
      </c>
      <c r="O1307" t="str" cm="1">
        <f t="array" ref="O1307">_xlfn.IFS(orders[[#This Row],[Customer Gender]] = "M", "Male",orders[[#This Row],[Customer Gender]] = "F", "Female",orders[[#This Row],[Customer Gender]] = "O", "Others",TRUE,"Unknown")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 - orders[[#This Row],[Order Date]]</f>
        <v>2</v>
      </c>
      <c r="N1308">
        <f>WEEKNUM(orders[[#This Row],[Order Date]])</f>
        <v>8</v>
      </c>
      <c r="O1308" t="str" cm="1">
        <f t="array" ref="O1308">_xlfn.IFS(orders[[#This Row],[Customer Gender]] = "M", "Male",orders[[#This Row],[Customer Gender]] = "F", "Female",orders[[#This Row],[Customer Gender]] = "O", "Others",TRUE,"Unknown")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 - orders[[#This Row],[Order Date]]</f>
        <v>1</v>
      </c>
      <c r="N1309">
        <f>WEEKNUM(orders[[#This Row],[Order Date]])</f>
        <v>8</v>
      </c>
      <c r="O1309" t="str" cm="1">
        <f t="array" ref="O1309">_xlfn.IFS(orders[[#This Row],[Customer Gender]] = "M", "Male",orders[[#This Row],[Customer Gender]] = "F", "Female",orders[[#This Row],[Customer Gender]] = "O", "Others",TRUE,"Unknown")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 - orders[[#This Row],[Order Date]]</f>
        <v>2</v>
      </c>
      <c r="N1310">
        <f>WEEKNUM(orders[[#This Row],[Order Date]])</f>
        <v>8</v>
      </c>
      <c r="O1310" t="str" cm="1">
        <f t="array" ref="O1310">_xlfn.IFS(orders[[#This Row],[Customer Gender]] = "M", "Male",orders[[#This Row],[Customer Gender]] = "F", "Female",orders[[#This Row],[Customer Gender]] = "O", "Others",TRUE,"Unknown")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 - orders[[#This Row],[Order Date]]</f>
        <v>4</v>
      </c>
      <c r="N1311">
        <f>WEEKNUM(orders[[#This Row],[Order Date]])</f>
        <v>8</v>
      </c>
      <c r="O1311" t="str" cm="1">
        <f t="array" ref="O1311">_xlfn.IFS(orders[[#This Row],[Customer Gender]] = "M", "Male",orders[[#This Row],[Customer Gender]] = "F", "Female",orders[[#This Row],[Customer Gender]] = "O", "Others",TRUE,"Unknown")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 - orders[[#This Row],[Order Date]]</f>
        <v>6</v>
      </c>
      <c r="N1312">
        <f>WEEKNUM(orders[[#This Row],[Order Date]])</f>
        <v>8</v>
      </c>
      <c r="O1312" t="str" cm="1">
        <f t="array" ref="O1312">_xlfn.IFS(orders[[#This Row],[Customer Gender]] = "M", "Male",orders[[#This Row],[Customer Gender]] = "F", "Female",orders[[#This Row],[Customer Gender]] = "O", "Others",TRUE,"Unknown")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 - orders[[#This Row],[Order Date]]</f>
        <v>2</v>
      </c>
      <c r="N1313">
        <f>WEEKNUM(orders[[#This Row],[Order Date]])</f>
        <v>8</v>
      </c>
      <c r="O1313" t="str" cm="1">
        <f t="array" ref="O1313">_xlfn.IFS(orders[[#This Row],[Customer Gender]] = "M", "Male",orders[[#This Row],[Customer Gender]] = "F", "Female",orders[[#This Row],[Customer Gender]] = "O", "Others",TRUE,"Unknown")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 - orders[[#This Row],[Order Date]]</f>
        <v>2</v>
      </c>
      <c r="N1314">
        <f>WEEKNUM(orders[[#This Row],[Order Date]])</f>
        <v>8</v>
      </c>
      <c r="O1314" t="str" cm="1">
        <f t="array" ref="O1314">_xlfn.IFS(orders[[#This Row],[Customer Gender]] = "M", "Male",orders[[#This Row],[Customer Gender]] = "F", "Female",orders[[#This Row],[Customer Gender]] = "O", "Others",TRUE,"Unknown")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 - orders[[#This Row],[Order Date]]</f>
        <v>1</v>
      </c>
      <c r="N1315">
        <f>WEEKNUM(orders[[#This Row],[Order Date]])</f>
        <v>8</v>
      </c>
      <c r="O1315" t="str" cm="1">
        <f t="array" ref="O1315">_xlfn.IFS(orders[[#This Row],[Customer Gender]] = "M", "Male",orders[[#This Row],[Customer Gender]] = "F", "Female",orders[[#This Row],[Customer Gender]] = "O", "Others",TRUE,"Unknown")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 - orders[[#This Row],[Order Date]]</f>
        <v>3</v>
      </c>
      <c r="N1316">
        <f>WEEKNUM(orders[[#This Row],[Order Date]])</f>
        <v>8</v>
      </c>
      <c r="O1316" t="str" cm="1">
        <f t="array" ref="O1316">_xlfn.IFS(orders[[#This Row],[Customer Gender]] = "M", "Male",orders[[#This Row],[Customer Gender]] = "F", "Female",orders[[#This Row],[Customer Gender]] = "O", "Others",TRUE,"Unknown")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 - orders[[#This Row],[Order Date]]</f>
        <v>5</v>
      </c>
      <c r="N1317">
        <f>WEEKNUM(orders[[#This Row],[Order Date]])</f>
        <v>8</v>
      </c>
      <c r="O1317" t="str" cm="1">
        <f t="array" ref="O1317">_xlfn.IFS(orders[[#This Row],[Customer Gender]] = "M", "Male",orders[[#This Row],[Customer Gender]] = "F", "Female",orders[[#This Row],[Customer Gender]] = "O", "Others",TRUE,"Unknown")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 - orders[[#This Row],[Order Date]]</f>
        <v>1</v>
      </c>
      <c r="N1318">
        <f>WEEKNUM(orders[[#This Row],[Order Date]])</f>
        <v>8</v>
      </c>
      <c r="O1318" t="str" cm="1">
        <f t="array" ref="O1318">_xlfn.IFS(orders[[#This Row],[Customer Gender]] = "M", "Male",orders[[#This Row],[Customer Gender]] = "F", "Female",orders[[#This Row],[Customer Gender]] = "O", "Others",TRUE,"Unknown")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 - orders[[#This Row],[Order Date]]</f>
        <v>2</v>
      </c>
      <c r="N1319">
        <f>WEEKNUM(orders[[#This Row],[Order Date]])</f>
        <v>8</v>
      </c>
      <c r="O1319" t="str" cm="1">
        <f t="array" ref="O1319">_xlfn.IFS(orders[[#This Row],[Customer Gender]] = "M", "Male",orders[[#This Row],[Customer Gender]] = "F", "Female",orders[[#This Row],[Customer Gender]] = "O", "Others",TRUE,"Unknown")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 - orders[[#This Row],[Order Date]]</f>
        <v>1</v>
      </c>
      <c r="N1320">
        <f>WEEKNUM(orders[[#This Row],[Order Date]])</f>
        <v>8</v>
      </c>
      <c r="O1320" t="str" cm="1">
        <f t="array" ref="O1320">_xlfn.IFS(orders[[#This Row],[Customer Gender]] = "M", "Male",orders[[#This Row],[Customer Gender]] = "F", "Female",orders[[#This Row],[Customer Gender]] = "O", "Others",TRUE,"Unknown")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 - orders[[#This Row],[Order Date]]</f>
        <v>1</v>
      </c>
      <c r="N1321">
        <f>WEEKNUM(orders[[#This Row],[Order Date]])</f>
        <v>8</v>
      </c>
      <c r="O1321" t="str" cm="1">
        <f t="array" ref="O1321">_xlfn.IFS(orders[[#This Row],[Customer Gender]] = "M", "Male",orders[[#This Row],[Customer Gender]] = "F", "Female",orders[[#This Row],[Customer Gender]] = "O", "Others",TRUE,"Unknown")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 - orders[[#This Row],[Order Date]]</f>
        <v>7</v>
      </c>
      <c r="N1322">
        <f>WEEKNUM(orders[[#This Row],[Order Date]])</f>
        <v>8</v>
      </c>
      <c r="O1322" t="str" cm="1">
        <f t="array" ref="O1322">_xlfn.IFS(orders[[#This Row],[Customer Gender]] = "M", "Male",orders[[#This Row],[Customer Gender]] = "F", "Female",orders[[#This Row],[Customer Gender]] = "O", "Others",TRUE,"Unknown")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 - orders[[#This Row],[Order Date]]</f>
        <v>2</v>
      </c>
      <c r="N1323">
        <f>WEEKNUM(orders[[#This Row],[Order Date]])</f>
        <v>8</v>
      </c>
      <c r="O1323" t="str" cm="1">
        <f t="array" ref="O1323">_xlfn.IFS(orders[[#This Row],[Customer Gender]] = "M", "Male",orders[[#This Row],[Customer Gender]] = "F", "Female",orders[[#This Row],[Customer Gender]] = "O", "Others",TRUE,"Unknown")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 - orders[[#This Row],[Order Date]]</f>
        <v>3</v>
      </c>
      <c r="N1324">
        <f>WEEKNUM(orders[[#This Row],[Order Date]])</f>
        <v>8</v>
      </c>
      <c r="O1324" t="str" cm="1">
        <f t="array" ref="O1324">_xlfn.IFS(orders[[#This Row],[Customer Gender]] = "M", "Male",orders[[#This Row],[Customer Gender]] = "F", "Female",orders[[#This Row],[Customer Gender]] = "O", "Others",TRUE,"Unknown")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 - orders[[#This Row],[Order Date]]</f>
        <v>1</v>
      </c>
      <c r="N1325">
        <f>WEEKNUM(orders[[#This Row],[Order Date]])</f>
        <v>8</v>
      </c>
      <c r="O1325" t="str" cm="1">
        <f t="array" ref="O1325">_xlfn.IFS(orders[[#This Row],[Customer Gender]] = "M", "Male",orders[[#This Row],[Customer Gender]] = "F", "Female",orders[[#This Row],[Customer Gender]] = "O", "Others",TRUE,"Unknown")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 - orders[[#This Row],[Order Date]]</f>
        <v>1</v>
      </c>
      <c r="N1326">
        <f>WEEKNUM(orders[[#This Row],[Order Date]])</f>
        <v>8</v>
      </c>
      <c r="O1326" t="str" cm="1">
        <f t="array" ref="O1326">_xlfn.IFS(orders[[#This Row],[Customer Gender]] = "M", "Male",orders[[#This Row],[Customer Gender]] = "F", "Female",orders[[#This Row],[Customer Gender]] = "O", "Others",TRUE,"Unknown")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 - orders[[#This Row],[Order Date]]</f>
        <v>2</v>
      </c>
      <c r="N1327">
        <f>WEEKNUM(orders[[#This Row],[Order Date]])</f>
        <v>8</v>
      </c>
      <c r="O1327" t="str" cm="1">
        <f t="array" ref="O1327">_xlfn.IFS(orders[[#This Row],[Customer Gender]] = "M", "Male",orders[[#This Row],[Customer Gender]] = "F", "Female",orders[[#This Row],[Customer Gender]] = "O", "Others",TRUE,"Unknown")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 - orders[[#This Row],[Order Date]]</f>
        <v>6</v>
      </c>
      <c r="N1328">
        <f>WEEKNUM(orders[[#This Row],[Order Date]])</f>
        <v>8</v>
      </c>
      <c r="O1328" t="str" cm="1">
        <f t="array" ref="O1328">_xlfn.IFS(orders[[#This Row],[Customer Gender]] = "M", "Male",orders[[#This Row],[Customer Gender]] = "F", "Female",orders[[#This Row],[Customer Gender]] = "O", "Others",TRUE,"Unknown")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 - orders[[#This Row],[Order Date]]</f>
        <v>1</v>
      </c>
      <c r="N1329">
        <f>WEEKNUM(orders[[#This Row],[Order Date]])</f>
        <v>8</v>
      </c>
      <c r="O1329" t="str" cm="1">
        <f t="array" ref="O1329">_xlfn.IFS(orders[[#This Row],[Customer Gender]] = "M", "Male",orders[[#This Row],[Customer Gender]] = "F", "Female",orders[[#This Row],[Customer Gender]] = "O", "Others",TRUE,"Unknown")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 - orders[[#This Row],[Order Date]]</f>
        <v>1</v>
      </c>
      <c r="N1330">
        <f>WEEKNUM(orders[[#This Row],[Order Date]])</f>
        <v>8</v>
      </c>
      <c r="O1330" t="str" cm="1">
        <f t="array" ref="O1330">_xlfn.IFS(orders[[#This Row],[Customer Gender]] = "M", "Male",orders[[#This Row],[Customer Gender]] = "F", "Female",orders[[#This Row],[Customer Gender]] = "O", "Others",TRUE,"Unknown")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 - orders[[#This Row],[Order Date]]</f>
        <v>1</v>
      </c>
      <c r="N1331">
        <f>WEEKNUM(orders[[#This Row],[Order Date]])</f>
        <v>8</v>
      </c>
      <c r="O1331" t="str" cm="1">
        <f t="array" ref="O1331">_xlfn.IFS(orders[[#This Row],[Customer Gender]] = "M", "Male",orders[[#This Row],[Customer Gender]] = "F", "Female",orders[[#This Row],[Customer Gender]] = "O", "Others",TRUE,"Unknown")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 - orders[[#This Row],[Order Date]]</f>
        <v>1</v>
      </c>
      <c r="N1332">
        <f>WEEKNUM(orders[[#This Row],[Order Date]])</f>
        <v>8</v>
      </c>
      <c r="O1332" t="str" cm="1">
        <f t="array" ref="O1332">_xlfn.IFS(orders[[#This Row],[Customer Gender]] = "M", "Male",orders[[#This Row],[Customer Gender]] = "F", "Female",orders[[#This Row],[Customer Gender]] = "O", "Others",TRUE,"Unknown")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 - orders[[#This Row],[Order Date]]</f>
        <v>4</v>
      </c>
      <c r="N1333">
        <f>WEEKNUM(orders[[#This Row],[Order Date]])</f>
        <v>8</v>
      </c>
      <c r="O1333" t="str" cm="1">
        <f t="array" ref="O1333">_xlfn.IFS(orders[[#This Row],[Customer Gender]] = "M", "Male",orders[[#This Row],[Customer Gender]] = "F", "Female",orders[[#This Row],[Customer Gender]] = "O", "Others",TRUE,"Unknown")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 - orders[[#This Row],[Order Date]]</f>
        <v>3</v>
      </c>
      <c r="N1334">
        <f>WEEKNUM(orders[[#This Row],[Order Date]])</f>
        <v>8</v>
      </c>
      <c r="O1334" t="str" cm="1">
        <f t="array" ref="O1334">_xlfn.IFS(orders[[#This Row],[Customer Gender]] = "M", "Male",orders[[#This Row],[Customer Gender]] = "F", "Female",orders[[#This Row],[Customer Gender]] = "O", "Others",TRUE,"Unknown")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 - orders[[#This Row],[Order Date]]</f>
        <v>2</v>
      </c>
      <c r="N1335">
        <f>WEEKNUM(orders[[#This Row],[Order Date]])</f>
        <v>8</v>
      </c>
      <c r="O1335" t="str" cm="1">
        <f t="array" ref="O1335">_xlfn.IFS(orders[[#This Row],[Customer Gender]] = "M", "Male",orders[[#This Row],[Customer Gender]] = "F", "Female",orders[[#This Row],[Customer Gender]] = "O", "Others",TRUE,"Unknown")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 - orders[[#This Row],[Order Date]]</f>
        <v>1</v>
      </c>
      <c r="N1336">
        <f>WEEKNUM(orders[[#This Row],[Order Date]])</f>
        <v>8</v>
      </c>
      <c r="O1336" t="str" cm="1">
        <f t="array" ref="O1336">_xlfn.IFS(orders[[#This Row],[Customer Gender]] = "M", "Male",orders[[#This Row],[Customer Gender]] = "F", "Female",orders[[#This Row],[Customer Gender]] = "O", "Others",TRUE,"Unknown")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 - orders[[#This Row],[Order Date]]</f>
        <v>2</v>
      </c>
      <c r="N1337">
        <f>WEEKNUM(orders[[#This Row],[Order Date]])</f>
        <v>8</v>
      </c>
      <c r="O1337" t="str" cm="1">
        <f t="array" ref="O1337">_xlfn.IFS(orders[[#This Row],[Customer Gender]] = "M", "Male",orders[[#This Row],[Customer Gender]] = "F", "Female",orders[[#This Row],[Customer Gender]] = "O", "Others",TRUE,"Unknown")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 - orders[[#This Row],[Order Date]]</f>
        <v>2</v>
      </c>
      <c r="N1338">
        <f>WEEKNUM(orders[[#This Row],[Order Date]])</f>
        <v>8</v>
      </c>
      <c r="O1338" t="str" cm="1">
        <f t="array" ref="O1338">_xlfn.IFS(orders[[#This Row],[Customer Gender]] = "M", "Male",orders[[#This Row],[Customer Gender]] = "F", "Female",orders[[#This Row],[Customer Gender]] = "O", "Others",TRUE,"Unknown")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 - orders[[#This Row],[Order Date]]</f>
        <v>1</v>
      </c>
      <c r="N1339">
        <f>WEEKNUM(orders[[#This Row],[Order Date]])</f>
        <v>8</v>
      </c>
      <c r="O1339" t="str" cm="1">
        <f t="array" ref="O1339">_xlfn.IFS(orders[[#This Row],[Customer Gender]] = "M", "Male",orders[[#This Row],[Customer Gender]] = "F", "Female",orders[[#This Row],[Customer Gender]] = "O", "Others",TRUE,"Unknown")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 - orders[[#This Row],[Order Date]]</f>
        <v>5</v>
      </c>
      <c r="N1340">
        <f>WEEKNUM(orders[[#This Row],[Order Date]])</f>
        <v>8</v>
      </c>
      <c r="O1340" t="str" cm="1">
        <f t="array" ref="O1340">_xlfn.IFS(orders[[#This Row],[Customer Gender]] = "M", "Male",orders[[#This Row],[Customer Gender]] = "F", "Female",orders[[#This Row],[Customer Gender]] = "O", "Others",TRUE,"Unknown")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 - orders[[#This Row],[Order Date]]</f>
        <v>1</v>
      </c>
      <c r="N1341">
        <f>WEEKNUM(orders[[#This Row],[Order Date]])</f>
        <v>8</v>
      </c>
      <c r="O1341" t="str" cm="1">
        <f t="array" ref="O1341">_xlfn.IFS(orders[[#This Row],[Customer Gender]] = "M", "Male",orders[[#This Row],[Customer Gender]] = "F", "Female",orders[[#This Row],[Customer Gender]] = "O", "Others",TRUE,"Unknown")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 - orders[[#This Row],[Order Date]]</f>
        <v>2</v>
      </c>
      <c r="N1342">
        <f>WEEKNUM(orders[[#This Row],[Order Date]])</f>
        <v>8</v>
      </c>
      <c r="O1342" t="str" cm="1">
        <f t="array" ref="O1342">_xlfn.IFS(orders[[#This Row],[Customer Gender]] = "M", "Male",orders[[#This Row],[Customer Gender]] = "F", "Female",orders[[#This Row],[Customer Gender]] = "O", "Others",TRUE,"Unknown")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 - orders[[#This Row],[Order Date]]</f>
        <v>3</v>
      </c>
      <c r="N1343">
        <f>WEEKNUM(orders[[#This Row],[Order Date]])</f>
        <v>8</v>
      </c>
      <c r="O1343" t="str" cm="1">
        <f t="array" ref="O1343">_xlfn.IFS(orders[[#This Row],[Customer Gender]] = "M", "Male",orders[[#This Row],[Customer Gender]] = "F", "Female",orders[[#This Row],[Customer Gender]] = "O", "Others",TRUE,"Unknown")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 - orders[[#This Row],[Order Date]]</f>
        <v>3</v>
      </c>
      <c r="N1344">
        <f>WEEKNUM(orders[[#This Row],[Order Date]])</f>
        <v>8</v>
      </c>
      <c r="O1344" t="str" cm="1">
        <f t="array" ref="O1344">_xlfn.IFS(orders[[#This Row],[Customer Gender]] = "M", "Male",orders[[#This Row],[Customer Gender]] = "F", "Female",orders[[#This Row],[Customer Gender]] = "O", "Others",TRUE,"Unknown")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 - orders[[#This Row],[Order Date]]</f>
        <v>1</v>
      </c>
      <c r="N1345">
        <f>WEEKNUM(orders[[#This Row],[Order Date]])</f>
        <v>8</v>
      </c>
      <c r="O1345" t="str" cm="1">
        <f t="array" ref="O1345">_xlfn.IFS(orders[[#This Row],[Customer Gender]] = "M", "Male",orders[[#This Row],[Customer Gender]] = "F", "Female",orders[[#This Row],[Customer Gender]] = "O", "Others",TRUE,"Unknown")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 - orders[[#This Row],[Order Date]]</f>
        <v>3</v>
      </c>
      <c r="N1346">
        <f>WEEKNUM(orders[[#This Row],[Order Date]])</f>
        <v>8</v>
      </c>
      <c r="O1346" t="str" cm="1">
        <f t="array" ref="O1346">_xlfn.IFS(orders[[#This Row],[Customer Gender]] = "M", "Male",orders[[#This Row],[Customer Gender]] = "F", "Female",orders[[#This Row],[Customer Gender]] = "O", "Others",TRUE,"Unknown")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 - orders[[#This Row],[Order Date]]</f>
        <v>3</v>
      </c>
      <c r="N1347">
        <f>WEEKNUM(orders[[#This Row],[Order Date]])</f>
        <v>8</v>
      </c>
      <c r="O1347" t="str" cm="1">
        <f t="array" ref="O1347">_xlfn.IFS(orders[[#This Row],[Customer Gender]] = "M", "Male",orders[[#This Row],[Customer Gender]] = "F", "Female",orders[[#This Row],[Customer Gender]] = "O", "Others",TRUE,"Unknown")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 - orders[[#This Row],[Order Date]]</f>
        <v>3</v>
      </c>
      <c r="N1348">
        <f>WEEKNUM(orders[[#This Row],[Order Date]])</f>
        <v>8</v>
      </c>
      <c r="O1348" t="str" cm="1">
        <f t="array" ref="O1348">_xlfn.IFS(orders[[#This Row],[Customer Gender]] = "M", "Male",orders[[#This Row],[Customer Gender]] = "F", "Female",orders[[#This Row],[Customer Gender]] = "O", "Others",TRUE,"Unknown")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 - orders[[#This Row],[Order Date]]</f>
        <v>2</v>
      </c>
      <c r="N1349">
        <f>WEEKNUM(orders[[#This Row],[Order Date]])</f>
        <v>8</v>
      </c>
      <c r="O1349" t="str" cm="1">
        <f t="array" ref="O1349">_xlfn.IFS(orders[[#This Row],[Customer Gender]] = "M", "Male",orders[[#This Row],[Customer Gender]] = "F", "Female",orders[[#This Row],[Customer Gender]] = "O", "Others",TRUE,"Unknown")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 - orders[[#This Row],[Order Date]]</f>
        <v>2</v>
      </c>
      <c r="N1350">
        <f>WEEKNUM(orders[[#This Row],[Order Date]])</f>
        <v>8</v>
      </c>
      <c r="O1350" t="str" cm="1">
        <f t="array" ref="O1350">_xlfn.IFS(orders[[#This Row],[Customer Gender]] = "M", "Male",orders[[#This Row],[Customer Gender]] = "F", "Female",orders[[#This Row],[Customer Gender]] = "O", "Others",TRUE,"Unknown")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 - orders[[#This Row],[Order Date]]</f>
        <v>2</v>
      </c>
      <c r="N1351">
        <f>WEEKNUM(orders[[#This Row],[Order Date]])</f>
        <v>8</v>
      </c>
      <c r="O1351" t="str" cm="1">
        <f t="array" ref="O1351">_xlfn.IFS(orders[[#This Row],[Customer Gender]] = "M", "Male",orders[[#This Row],[Customer Gender]] = "F", "Female",orders[[#This Row],[Customer Gender]] = "O", "Others",TRUE,"Unknown")</f>
        <v>Others</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 - orders[[#This Row],[Order Date]]</f>
        <v>4</v>
      </c>
      <c r="N1352">
        <f>WEEKNUM(orders[[#This Row],[Order Date]])</f>
        <v>8</v>
      </c>
      <c r="O1352" t="str" cm="1">
        <f t="array" ref="O1352">_xlfn.IFS(orders[[#This Row],[Customer Gender]] = "M", "Male",orders[[#This Row],[Customer Gender]] = "F", "Female",orders[[#This Row],[Customer Gender]] = "O", "Others",TRUE,"Unknown")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 - orders[[#This Row],[Order Date]]</f>
        <v>2</v>
      </c>
      <c r="N1353">
        <f>WEEKNUM(orders[[#This Row],[Order Date]])</f>
        <v>8</v>
      </c>
      <c r="O1353" t="str" cm="1">
        <f t="array" ref="O1353">_xlfn.IFS(orders[[#This Row],[Customer Gender]] = "M", "Male",orders[[#This Row],[Customer Gender]] = "F", "Female",orders[[#This Row],[Customer Gender]] = "O", "Others",TRUE,"Unknown")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 - orders[[#This Row],[Order Date]]</f>
        <v>8</v>
      </c>
      <c r="N1354">
        <f>WEEKNUM(orders[[#This Row],[Order Date]])</f>
        <v>8</v>
      </c>
      <c r="O1354" t="str" cm="1">
        <f t="array" ref="O1354">_xlfn.IFS(orders[[#This Row],[Customer Gender]] = "M", "Male",orders[[#This Row],[Customer Gender]] = "F", "Female",orders[[#This Row],[Customer Gender]] = "O", "Others",TRUE,"Unknown")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 - orders[[#This Row],[Order Date]]</f>
        <v>1</v>
      </c>
      <c r="N1355">
        <f>WEEKNUM(orders[[#This Row],[Order Date]])</f>
        <v>8</v>
      </c>
      <c r="O1355" t="str" cm="1">
        <f t="array" ref="O1355">_xlfn.IFS(orders[[#This Row],[Customer Gender]] = "M", "Male",orders[[#This Row],[Customer Gender]] = "F", "Female",orders[[#This Row],[Customer Gender]] = "O", "Others",TRUE,"Unknown")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 - orders[[#This Row],[Order Date]]</f>
        <v>1</v>
      </c>
      <c r="N1356">
        <f>WEEKNUM(orders[[#This Row],[Order Date]])</f>
        <v>8</v>
      </c>
      <c r="O1356" t="str" cm="1">
        <f t="array" ref="O1356">_xlfn.IFS(orders[[#This Row],[Customer Gender]] = "M", "Male",orders[[#This Row],[Customer Gender]] = "F", "Female",orders[[#This Row],[Customer Gender]] = "O", "Others",TRUE,"Unknown")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 - orders[[#This Row],[Order Date]]</f>
        <v>5</v>
      </c>
      <c r="N1357">
        <f>WEEKNUM(orders[[#This Row],[Order Date]])</f>
        <v>8</v>
      </c>
      <c r="O1357" t="str" cm="1">
        <f t="array" ref="O1357">_xlfn.IFS(orders[[#This Row],[Customer Gender]] = "M", "Male",orders[[#This Row],[Customer Gender]] = "F", "Female",orders[[#This Row],[Customer Gender]] = "O", "Others",TRUE,"Unknown")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 - orders[[#This Row],[Order Date]]</f>
        <v>1</v>
      </c>
      <c r="N1358">
        <f>WEEKNUM(orders[[#This Row],[Order Date]])</f>
        <v>8</v>
      </c>
      <c r="O1358" t="str" cm="1">
        <f t="array" ref="O1358">_xlfn.IFS(orders[[#This Row],[Customer Gender]] = "M", "Male",orders[[#This Row],[Customer Gender]] = "F", "Female",orders[[#This Row],[Customer Gender]] = "O", "Others",TRUE,"Unknown")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 - orders[[#This Row],[Order Date]]</f>
        <v>4</v>
      </c>
      <c r="N1359">
        <f>WEEKNUM(orders[[#This Row],[Order Date]])</f>
        <v>8</v>
      </c>
      <c r="O1359" t="str" cm="1">
        <f t="array" ref="O1359">_xlfn.IFS(orders[[#This Row],[Customer Gender]] = "M", "Male",orders[[#This Row],[Customer Gender]] = "F", "Female",orders[[#This Row],[Customer Gender]] = "O", "Others",TRUE,"Unknown")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 - orders[[#This Row],[Order Date]]</f>
        <v>1</v>
      </c>
      <c r="N1360">
        <f>WEEKNUM(orders[[#This Row],[Order Date]])</f>
        <v>8</v>
      </c>
      <c r="O1360" t="str" cm="1">
        <f t="array" ref="O1360">_xlfn.IFS(orders[[#This Row],[Customer Gender]] = "M", "Male",orders[[#This Row],[Customer Gender]] = "F", "Female",orders[[#This Row],[Customer Gender]] = "O", "Others",TRUE,"Unknown")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 - orders[[#This Row],[Order Date]]</f>
        <v>1</v>
      </c>
      <c r="N1361">
        <f>WEEKNUM(orders[[#This Row],[Order Date]])</f>
        <v>8</v>
      </c>
      <c r="O1361" t="str" cm="1">
        <f t="array" ref="O1361">_xlfn.IFS(orders[[#This Row],[Customer Gender]] = "M", "Male",orders[[#This Row],[Customer Gender]] = "F", "Female",orders[[#This Row],[Customer Gender]] = "O", "Others",TRUE,"Unknown")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 - orders[[#This Row],[Order Date]]</f>
        <v>1</v>
      </c>
      <c r="N1362">
        <f>WEEKNUM(orders[[#This Row],[Order Date]])</f>
        <v>8</v>
      </c>
      <c r="O1362" t="str" cm="1">
        <f t="array" ref="O1362">_xlfn.IFS(orders[[#This Row],[Customer Gender]] = "M", "Male",orders[[#This Row],[Customer Gender]] = "F", "Female",orders[[#This Row],[Customer Gender]] = "O", "Others",TRUE,"Unknown")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 - orders[[#This Row],[Order Date]]</f>
        <v>1</v>
      </c>
      <c r="N1363">
        <f>WEEKNUM(orders[[#This Row],[Order Date]])</f>
        <v>8</v>
      </c>
      <c r="O1363" t="str" cm="1">
        <f t="array" ref="O1363">_xlfn.IFS(orders[[#This Row],[Customer Gender]] = "M", "Male",orders[[#This Row],[Customer Gender]] = "F", "Female",orders[[#This Row],[Customer Gender]] = "O", "Others",TRUE,"Unknown")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 - orders[[#This Row],[Order Date]]</f>
        <v>1</v>
      </c>
      <c r="N1364">
        <f>WEEKNUM(orders[[#This Row],[Order Date]])</f>
        <v>8</v>
      </c>
      <c r="O1364" t="str" cm="1">
        <f t="array" ref="O1364">_xlfn.IFS(orders[[#This Row],[Customer Gender]] = "M", "Male",orders[[#This Row],[Customer Gender]] = "F", "Female",orders[[#This Row],[Customer Gender]] = "O", "Others",TRUE,"Unknown")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 - orders[[#This Row],[Order Date]]</f>
        <v>6</v>
      </c>
      <c r="N1365">
        <f>WEEKNUM(orders[[#This Row],[Order Date]])</f>
        <v>8</v>
      </c>
      <c r="O1365" t="str" cm="1">
        <f t="array" ref="O1365">_xlfn.IFS(orders[[#This Row],[Customer Gender]] = "M", "Male",orders[[#This Row],[Customer Gender]] = "F", "Female",orders[[#This Row],[Customer Gender]] = "O", "Others",TRUE,"Unknown")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 - orders[[#This Row],[Order Date]]</f>
        <v>0</v>
      </c>
      <c r="N1366">
        <f>WEEKNUM(orders[[#This Row],[Order Date]])</f>
        <v>8</v>
      </c>
      <c r="O1366" t="str" cm="1">
        <f t="array" ref="O1366">_xlfn.IFS(orders[[#This Row],[Customer Gender]] = "M", "Male",orders[[#This Row],[Customer Gender]] = "F", "Female",orders[[#This Row],[Customer Gender]] = "O", "Others",TRUE,"Unknown")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 - orders[[#This Row],[Order Date]]</f>
        <v>2</v>
      </c>
      <c r="N1367">
        <f>WEEKNUM(orders[[#This Row],[Order Date]])</f>
        <v>8</v>
      </c>
      <c r="O1367" t="str" cm="1">
        <f t="array" ref="O1367">_xlfn.IFS(orders[[#This Row],[Customer Gender]] = "M", "Male",orders[[#This Row],[Customer Gender]] = "F", "Female",orders[[#This Row],[Customer Gender]] = "O", "Others",TRUE,"Unknown")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 - orders[[#This Row],[Order Date]]</f>
        <v>0</v>
      </c>
      <c r="N1368">
        <f>WEEKNUM(orders[[#This Row],[Order Date]])</f>
        <v>8</v>
      </c>
      <c r="O1368" t="str" cm="1">
        <f t="array" ref="O1368">_xlfn.IFS(orders[[#This Row],[Customer Gender]] = "M", "Male",orders[[#This Row],[Customer Gender]] = "F", "Female",orders[[#This Row],[Customer Gender]] = "O", "Others",TRUE,"Unknown")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 - orders[[#This Row],[Order Date]]</f>
        <v>4</v>
      </c>
      <c r="N1369">
        <f>WEEKNUM(orders[[#This Row],[Order Date]])</f>
        <v>8</v>
      </c>
      <c r="O1369" t="str" cm="1">
        <f t="array" ref="O1369">_xlfn.IFS(orders[[#This Row],[Customer Gender]] = "M", "Male",orders[[#This Row],[Customer Gender]] = "F", "Female",orders[[#This Row],[Customer Gender]] = "O", "Others",TRUE,"Unknown")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 - orders[[#This Row],[Order Date]]</f>
        <v>5</v>
      </c>
      <c r="N1370">
        <f>WEEKNUM(orders[[#This Row],[Order Date]])</f>
        <v>8</v>
      </c>
      <c r="O1370" t="str" cm="1">
        <f t="array" ref="O1370">_xlfn.IFS(orders[[#This Row],[Customer Gender]] = "M", "Male",orders[[#This Row],[Customer Gender]] = "F", "Female",orders[[#This Row],[Customer Gender]] = "O", "Others",TRUE,"Unknown")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 - orders[[#This Row],[Order Date]]</f>
        <v>5</v>
      </c>
      <c r="N1371">
        <f>WEEKNUM(orders[[#This Row],[Order Date]])</f>
        <v>8</v>
      </c>
      <c r="O1371" t="str" cm="1">
        <f t="array" ref="O1371">_xlfn.IFS(orders[[#This Row],[Customer Gender]] = "M", "Male",orders[[#This Row],[Customer Gender]] = "F", "Female",orders[[#This Row],[Customer Gender]] = "O", "Others",TRUE,"Unknown")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 - orders[[#This Row],[Order Date]]</f>
        <v>4</v>
      </c>
      <c r="N1372">
        <f>WEEKNUM(orders[[#This Row],[Order Date]])</f>
        <v>8</v>
      </c>
      <c r="O1372" t="str" cm="1">
        <f t="array" ref="O1372">_xlfn.IFS(orders[[#This Row],[Customer Gender]] = "M", "Male",orders[[#This Row],[Customer Gender]] = "F", "Female",orders[[#This Row],[Customer Gender]] = "O", "Others",TRUE,"Unknown")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 - orders[[#This Row],[Order Date]]</f>
        <v>1</v>
      </c>
      <c r="N1373">
        <f>WEEKNUM(orders[[#This Row],[Order Date]])</f>
        <v>8</v>
      </c>
      <c r="O1373" t="str" cm="1">
        <f t="array" ref="O1373">_xlfn.IFS(orders[[#This Row],[Customer Gender]] = "M", "Male",orders[[#This Row],[Customer Gender]] = "F", "Female",orders[[#This Row],[Customer Gender]] = "O", "Others",TRUE,"Unknown")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 - orders[[#This Row],[Order Date]]</f>
        <v>1</v>
      </c>
      <c r="N1374">
        <f>WEEKNUM(orders[[#This Row],[Order Date]])</f>
        <v>8</v>
      </c>
      <c r="O1374" t="str" cm="1">
        <f t="array" ref="O1374">_xlfn.IFS(orders[[#This Row],[Customer Gender]] = "M", "Male",orders[[#This Row],[Customer Gender]] = "F", "Female",orders[[#This Row],[Customer Gender]] = "O", "Others",TRUE,"Unknown")</f>
        <v>Others</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 - orders[[#This Row],[Order Date]]</f>
        <v>2</v>
      </c>
      <c r="N1375">
        <f>WEEKNUM(orders[[#This Row],[Order Date]])</f>
        <v>8</v>
      </c>
      <c r="O1375" t="str" cm="1">
        <f t="array" ref="O1375">_xlfn.IFS(orders[[#This Row],[Customer Gender]] = "M", "Male",orders[[#This Row],[Customer Gender]] = "F", "Female",orders[[#This Row],[Customer Gender]] = "O", "Others",TRUE,"Unknown")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 - orders[[#This Row],[Order Date]]</f>
        <v>5</v>
      </c>
      <c r="N1376">
        <f>WEEKNUM(orders[[#This Row],[Order Date]])</f>
        <v>8</v>
      </c>
      <c r="O1376" t="str" cm="1">
        <f t="array" ref="O1376">_xlfn.IFS(orders[[#This Row],[Customer Gender]] = "M", "Male",orders[[#This Row],[Customer Gender]] = "F", "Female",orders[[#This Row],[Customer Gender]] = "O", "Others",TRUE,"Unknown")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 - orders[[#This Row],[Order Date]]</f>
        <v>1</v>
      </c>
      <c r="N1377">
        <f>WEEKNUM(orders[[#This Row],[Order Date]])</f>
        <v>8</v>
      </c>
      <c r="O1377" t="str" cm="1">
        <f t="array" ref="O1377">_xlfn.IFS(orders[[#This Row],[Customer Gender]] = "M", "Male",orders[[#This Row],[Customer Gender]] = "F", "Female",orders[[#This Row],[Customer Gender]] = "O", "Others",TRUE,"Unknown")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 - orders[[#This Row],[Order Date]]</f>
        <v>1</v>
      </c>
      <c r="N1378">
        <f>WEEKNUM(orders[[#This Row],[Order Date]])</f>
        <v>8</v>
      </c>
      <c r="O1378" t="str" cm="1">
        <f t="array" ref="O1378">_xlfn.IFS(orders[[#This Row],[Customer Gender]] = "M", "Male",orders[[#This Row],[Customer Gender]] = "F", "Female",orders[[#This Row],[Customer Gender]] = "O", "Others",TRUE,"Unknown")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 - orders[[#This Row],[Order Date]]</f>
        <v>3</v>
      </c>
      <c r="N1379">
        <f>WEEKNUM(orders[[#This Row],[Order Date]])</f>
        <v>8</v>
      </c>
      <c r="O1379" t="str" cm="1">
        <f t="array" ref="O1379">_xlfn.IFS(orders[[#This Row],[Customer Gender]] = "M", "Male",orders[[#This Row],[Customer Gender]] = "F", "Female",orders[[#This Row],[Customer Gender]] = "O", "Others",TRUE,"Unknown")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 - orders[[#This Row],[Order Date]]</f>
        <v>4</v>
      </c>
      <c r="N1380">
        <f>WEEKNUM(orders[[#This Row],[Order Date]])</f>
        <v>8</v>
      </c>
      <c r="O1380" t="str" cm="1">
        <f t="array" ref="O1380">_xlfn.IFS(orders[[#This Row],[Customer Gender]] = "M", "Male",orders[[#This Row],[Customer Gender]] = "F", "Female",orders[[#This Row],[Customer Gender]] = "O", "Others",TRUE,"Unknown")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 - orders[[#This Row],[Order Date]]</f>
        <v>1</v>
      </c>
      <c r="N1381">
        <f>WEEKNUM(orders[[#This Row],[Order Date]])</f>
        <v>8</v>
      </c>
      <c r="O1381" t="str" cm="1">
        <f t="array" ref="O1381">_xlfn.IFS(orders[[#This Row],[Customer Gender]] = "M", "Male",orders[[#This Row],[Customer Gender]] = "F", "Female",orders[[#This Row],[Customer Gender]] = "O", "Others",TRUE,"Unknown")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 - orders[[#This Row],[Order Date]]</f>
        <v>1</v>
      </c>
      <c r="N1382">
        <f>WEEKNUM(orders[[#This Row],[Order Date]])</f>
        <v>8</v>
      </c>
      <c r="O1382" t="str" cm="1">
        <f t="array" ref="O1382">_xlfn.IFS(orders[[#This Row],[Customer Gender]] = "M", "Male",orders[[#This Row],[Customer Gender]] = "F", "Female",orders[[#This Row],[Customer Gender]] = "O", "Others",TRUE,"Unknown")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 - orders[[#This Row],[Order Date]]</f>
        <v>5</v>
      </c>
      <c r="N1383">
        <f>WEEKNUM(orders[[#This Row],[Order Date]])</f>
        <v>8</v>
      </c>
      <c r="O1383" t="str" cm="1">
        <f t="array" ref="O1383">_xlfn.IFS(orders[[#This Row],[Customer Gender]] = "M", "Male",orders[[#This Row],[Customer Gender]] = "F", "Female",orders[[#This Row],[Customer Gender]] = "O", "Others",TRUE,"Unknown")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 - orders[[#This Row],[Order Date]]</f>
        <v>2</v>
      </c>
      <c r="N1384">
        <f>WEEKNUM(orders[[#This Row],[Order Date]])</f>
        <v>8</v>
      </c>
      <c r="O1384" t="str" cm="1">
        <f t="array" ref="O1384">_xlfn.IFS(orders[[#This Row],[Customer Gender]] = "M", "Male",orders[[#This Row],[Customer Gender]] = "F", "Female",orders[[#This Row],[Customer Gender]] = "O", "Others",TRUE,"Unknown")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 - orders[[#This Row],[Order Date]]</f>
        <v>3</v>
      </c>
      <c r="N1385">
        <f>WEEKNUM(orders[[#This Row],[Order Date]])</f>
        <v>8</v>
      </c>
      <c r="O1385" t="str" cm="1">
        <f t="array" ref="O1385">_xlfn.IFS(orders[[#This Row],[Customer Gender]] = "M", "Male",orders[[#This Row],[Customer Gender]] = "F", "Female",orders[[#This Row],[Customer Gender]] = "O", "Others",TRUE,"Unknown")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 - orders[[#This Row],[Order Date]]</f>
        <v>2</v>
      </c>
      <c r="N1386">
        <f>WEEKNUM(orders[[#This Row],[Order Date]])</f>
        <v>8</v>
      </c>
      <c r="O1386" t="str" cm="1">
        <f t="array" ref="O1386">_xlfn.IFS(orders[[#This Row],[Customer Gender]] = "M", "Male",orders[[#This Row],[Customer Gender]] = "F", "Female",orders[[#This Row],[Customer Gender]] = "O", "Others",TRUE,"Unknown")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 - orders[[#This Row],[Order Date]]</f>
        <v>2</v>
      </c>
      <c r="N1387">
        <f>WEEKNUM(orders[[#This Row],[Order Date]])</f>
        <v>8</v>
      </c>
      <c r="O1387" t="str" cm="1">
        <f t="array" ref="O1387">_xlfn.IFS(orders[[#This Row],[Customer Gender]] = "M", "Male",orders[[#This Row],[Customer Gender]] = "F", "Female",orders[[#This Row],[Customer Gender]] = "O", "Others",TRUE,"Unknown")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 - orders[[#This Row],[Order Date]]</f>
        <v>3</v>
      </c>
      <c r="N1388">
        <f>WEEKNUM(orders[[#This Row],[Order Date]])</f>
        <v>8</v>
      </c>
      <c r="O1388" t="str" cm="1">
        <f t="array" ref="O1388">_xlfn.IFS(orders[[#This Row],[Customer Gender]] = "M", "Male",orders[[#This Row],[Customer Gender]] = "F", "Female",orders[[#This Row],[Customer Gender]] = "O", "Others",TRUE,"Unknown")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 - orders[[#This Row],[Order Date]]</f>
        <v>1</v>
      </c>
      <c r="N1389">
        <f>WEEKNUM(orders[[#This Row],[Order Date]])</f>
        <v>8</v>
      </c>
      <c r="O1389" t="str" cm="1">
        <f t="array" ref="O1389">_xlfn.IFS(orders[[#This Row],[Customer Gender]] = "M", "Male",orders[[#This Row],[Customer Gender]] = "F", "Female",orders[[#This Row],[Customer Gender]] = "O", "Others",TRUE,"Unknown")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 - orders[[#This Row],[Order Date]]</f>
        <v>2</v>
      </c>
      <c r="N1390">
        <f>WEEKNUM(orders[[#This Row],[Order Date]])</f>
        <v>8</v>
      </c>
      <c r="O1390" t="str" cm="1">
        <f t="array" ref="O1390">_xlfn.IFS(orders[[#This Row],[Customer Gender]] = "M", "Male",orders[[#This Row],[Customer Gender]] = "F", "Female",orders[[#This Row],[Customer Gender]] = "O", "Others",TRUE,"Unknown")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 - orders[[#This Row],[Order Date]]</f>
        <v>2</v>
      </c>
      <c r="N1391">
        <f>WEEKNUM(orders[[#This Row],[Order Date]])</f>
        <v>8</v>
      </c>
      <c r="O1391" t="str" cm="1">
        <f t="array" ref="O1391">_xlfn.IFS(orders[[#This Row],[Customer Gender]] = "M", "Male",orders[[#This Row],[Customer Gender]] = "F", "Female",orders[[#This Row],[Customer Gender]] = "O", "Others",TRUE,"Unknown")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 - orders[[#This Row],[Order Date]]</f>
        <v>5</v>
      </c>
      <c r="N1392">
        <f>WEEKNUM(orders[[#This Row],[Order Date]])</f>
        <v>8</v>
      </c>
      <c r="O1392" t="str" cm="1">
        <f t="array" ref="O1392">_xlfn.IFS(orders[[#This Row],[Customer Gender]] = "M", "Male",orders[[#This Row],[Customer Gender]] = "F", "Female",orders[[#This Row],[Customer Gender]] = "O", "Others",TRUE,"Unknown")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 - orders[[#This Row],[Order Date]]</f>
        <v>2</v>
      </c>
      <c r="N1393">
        <f>WEEKNUM(orders[[#This Row],[Order Date]])</f>
        <v>8</v>
      </c>
      <c r="O1393" t="str" cm="1">
        <f t="array" ref="O1393">_xlfn.IFS(orders[[#This Row],[Customer Gender]] = "M", "Male",orders[[#This Row],[Customer Gender]] = "F", "Female",orders[[#This Row],[Customer Gender]] = "O", "Others",TRUE,"Unknown")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 - orders[[#This Row],[Order Date]]</f>
        <v>1</v>
      </c>
      <c r="N1394">
        <f>WEEKNUM(orders[[#This Row],[Order Date]])</f>
        <v>8</v>
      </c>
      <c r="O1394" t="str" cm="1">
        <f t="array" ref="O1394">_xlfn.IFS(orders[[#This Row],[Customer Gender]] = "M", "Male",orders[[#This Row],[Customer Gender]] = "F", "Female",orders[[#This Row],[Customer Gender]] = "O", "Others",TRUE,"Unknown")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 - orders[[#This Row],[Order Date]]</f>
        <v>3</v>
      </c>
      <c r="N1395">
        <f>WEEKNUM(orders[[#This Row],[Order Date]])</f>
        <v>8</v>
      </c>
      <c r="O1395" t="str" cm="1">
        <f t="array" ref="O1395">_xlfn.IFS(orders[[#This Row],[Customer Gender]] = "M", "Male",orders[[#This Row],[Customer Gender]] = "F", "Female",orders[[#This Row],[Customer Gender]] = "O", "Others",TRUE,"Unknown")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 - orders[[#This Row],[Order Date]]</f>
        <v>1</v>
      </c>
      <c r="N1396">
        <f>WEEKNUM(orders[[#This Row],[Order Date]])</f>
        <v>8</v>
      </c>
      <c r="O1396" t="str" cm="1">
        <f t="array" ref="O1396">_xlfn.IFS(orders[[#This Row],[Customer Gender]] = "M", "Male",orders[[#This Row],[Customer Gender]] = "F", "Female",orders[[#This Row],[Customer Gender]] = "O", "Others",TRUE,"Unknown")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 - orders[[#This Row],[Order Date]]</f>
        <v>1</v>
      </c>
      <c r="N1397">
        <f>WEEKNUM(orders[[#This Row],[Order Date]])</f>
        <v>8</v>
      </c>
      <c r="O1397" t="str" cm="1">
        <f t="array" ref="O1397">_xlfn.IFS(orders[[#This Row],[Customer Gender]] = "M", "Male",orders[[#This Row],[Customer Gender]] = "F", "Female",orders[[#This Row],[Customer Gender]] = "O", "Others",TRUE,"Unknown")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 - orders[[#This Row],[Order Date]]</f>
        <v>1</v>
      </c>
      <c r="N1398">
        <f>WEEKNUM(orders[[#This Row],[Order Date]])</f>
        <v>8</v>
      </c>
      <c r="O1398" t="str" cm="1">
        <f t="array" ref="O1398">_xlfn.IFS(orders[[#This Row],[Customer Gender]] = "M", "Male",orders[[#This Row],[Customer Gender]] = "F", "Female",orders[[#This Row],[Customer Gender]] = "O", "Others",TRUE,"Unknown")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 - orders[[#This Row],[Order Date]]</f>
        <v>3</v>
      </c>
      <c r="N1399">
        <f>WEEKNUM(orders[[#This Row],[Order Date]])</f>
        <v>8</v>
      </c>
      <c r="O1399" t="str" cm="1">
        <f t="array" ref="O1399">_xlfn.IFS(orders[[#This Row],[Customer Gender]] = "M", "Male",orders[[#This Row],[Customer Gender]] = "F", "Female",orders[[#This Row],[Customer Gender]] = "O", "Others",TRUE,"Unknown")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 - orders[[#This Row],[Order Date]]</f>
        <v>0</v>
      </c>
      <c r="N1400">
        <f>WEEKNUM(orders[[#This Row],[Order Date]])</f>
        <v>8</v>
      </c>
      <c r="O1400" t="str" cm="1">
        <f t="array" ref="O1400">_xlfn.IFS(orders[[#This Row],[Customer Gender]] = "M", "Male",orders[[#This Row],[Customer Gender]] = "F", "Female",orders[[#This Row],[Customer Gender]] = "O", "Others",TRUE,"Unknown")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 - orders[[#This Row],[Order Date]]</f>
        <v>3</v>
      </c>
      <c r="N1401">
        <f>WEEKNUM(orders[[#This Row],[Order Date]])</f>
        <v>8</v>
      </c>
      <c r="O1401" t="str" cm="1">
        <f t="array" ref="O1401">_xlfn.IFS(orders[[#This Row],[Customer Gender]] = "M", "Male",orders[[#This Row],[Customer Gender]] = "F", "Female",orders[[#This Row],[Customer Gender]] = "O", "Others",TRUE,"Unknown")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 - orders[[#This Row],[Order Date]]</f>
        <v>1</v>
      </c>
      <c r="N1402">
        <f>WEEKNUM(orders[[#This Row],[Order Date]])</f>
        <v>8</v>
      </c>
      <c r="O1402" t="str" cm="1">
        <f t="array" ref="O1402">_xlfn.IFS(orders[[#This Row],[Customer Gender]] = "M", "Male",orders[[#This Row],[Customer Gender]] = "F", "Female",orders[[#This Row],[Customer Gender]] = "O", "Others",TRUE,"Unknown")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 - orders[[#This Row],[Order Date]]</f>
        <v>1</v>
      </c>
      <c r="N1403">
        <f>WEEKNUM(orders[[#This Row],[Order Date]])</f>
        <v>8</v>
      </c>
      <c r="O1403" t="str" cm="1">
        <f t="array" ref="O1403">_xlfn.IFS(orders[[#This Row],[Customer Gender]] = "M", "Male",orders[[#This Row],[Customer Gender]] = "F", "Female",orders[[#This Row],[Customer Gender]] = "O", "Others",TRUE,"Unknown")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 - orders[[#This Row],[Order Date]]</f>
        <v>5</v>
      </c>
      <c r="N1404">
        <f>WEEKNUM(orders[[#This Row],[Order Date]])</f>
        <v>8</v>
      </c>
      <c r="O1404" t="str" cm="1">
        <f t="array" ref="O1404">_xlfn.IFS(orders[[#This Row],[Customer Gender]] = "M", "Male",orders[[#This Row],[Customer Gender]] = "F", "Female",orders[[#This Row],[Customer Gender]] = "O", "Others",TRUE,"Unknown")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 - orders[[#This Row],[Order Date]]</f>
        <v>3</v>
      </c>
      <c r="N1405">
        <f>WEEKNUM(orders[[#This Row],[Order Date]])</f>
        <v>8</v>
      </c>
      <c r="O1405" t="str" cm="1">
        <f t="array" ref="O1405">_xlfn.IFS(orders[[#This Row],[Customer Gender]] = "M", "Male",orders[[#This Row],[Customer Gender]] = "F", "Female",orders[[#This Row],[Customer Gender]] = "O", "Others",TRUE,"Unknown")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 - orders[[#This Row],[Order Date]]</f>
        <v>4</v>
      </c>
      <c r="N1406">
        <f>WEEKNUM(orders[[#This Row],[Order Date]])</f>
        <v>8</v>
      </c>
      <c r="O1406" t="str" cm="1">
        <f t="array" ref="O1406">_xlfn.IFS(orders[[#This Row],[Customer Gender]] = "M", "Male",orders[[#This Row],[Customer Gender]] = "F", "Female",orders[[#This Row],[Customer Gender]] = "O", "Others",TRUE,"Unknown")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 - orders[[#This Row],[Order Date]]</f>
        <v>1</v>
      </c>
      <c r="N1407">
        <f>WEEKNUM(orders[[#This Row],[Order Date]])</f>
        <v>8</v>
      </c>
      <c r="O1407" t="str" cm="1">
        <f t="array" ref="O1407">_xlfn.IFS(orders[[#This Row],[Customer Gender]] = "M", "Male",orders[[#This Row],[Customer Gender]] = "F", "Female",orders[[#This Row],[Customer Gender]] = "O", "Others",TRUE,"Unknown")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 - orders[[#This Row],[Order Date]]</f>
        <v>5</v>
      </c>
      <c r="N1408">
        <f>WEEKNUM(orders[[#This Row],[Order Date]])</f>
        <v>8</v>
      </c>
      <c r="O1408" t="str" cm="1">
        <f t="array" ref="O1408">_xlfn.IFS(orders[[#This Row],[Customer Gender]] = "M", "Male",orders[[#This Row],[Customer Gender]] = "F", "Female",orders[[#This Row],[Customer Gender]] = "O", "Others",TRUE,"Unknown")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 - orders[[#This Row],[Order Date]]</f>
        <v>0</v>
      </c>
      <c r="N1409">
        <f>WEEKNUM(orders[[#This Row],[Order Date]])</f>
        <v>8</v>
      </c>
      <c r="O1409" t="str" cm="1">
        <f t="array" ref="O1409">_xlfn.IFS(orders[[#This Row],[Customer Gender]] = "M", "Male",orders[[#This Row],[Customer Gender]] = "F", "Female",orders[[#This Row],[Customer Gender]] = "O", "Others",TRUE,"Unknown")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 - orders[[#This Row],[Order Date]]</f>
        <v>2</v>
      </c>
      <c r="N1410">
        <f>WEEKNUM(orders[[#This Row],[Order Date]])</f>
        <v>8</v>
      </c>
      <c r="O1410" t="str" cm="1">
        <f t="array" ref="O1410">_xlfn.IFS(orders[[#This Row],[Customer Gender]] = "M", "Male",orders[[#This Row],[Customer Gender]] = "F", "Female",orders[[#This Row],[Customer Gender]] = "O", "Others",TRUE,"Unknown")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 - orders[[#This Row],[Order Date]]</f>
        <v>1</v>
      </c>
      <c r="N1411">
        <f>WEEKNUM(orders[[#This Row],[Order Date]])</f>
        <v>8</v>
      </c>
      <c r="O1411" t="str" cm="1">
        <f t="array" ref="O1411">_xlfn.IFS(orders[[#This Row],[Customer Gender]] = "M", "Male",orders[[#This Row],[Customer Gender]] = "F", "Female",orders[[#This Row],[Customer Gender]] = "O", "Others",TRUE,"Unknown")</f>
        <v>Others</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 - orders[[#This Row],[Order Date]]</f>
        <v>0</v>
      </c>
      <c r="N1412">
        <f>WEEKNUM(orders[[#This Row],[Order Date]])</f>
        <v>8</v>
      </c>
      <c r="O1412" t="str" cm="1">
        <f t="array" ref="O1412">_xlfn.IFS(orders[[#This Row],[Customer Gender]] = "M", "Male",orders[[#This Row],[Customer Gender]] = "F", "Female",orders[[#This Row],[Customer Gender]] = "O", "Others",TRUE,"Unknown")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 - orders[[#This Row],[Order Date]]</f>
        <v>2</v>
      </c>
      <c r="N1413">
        <f>WEEKNUM(orders[[#This Row],[Order Date]])</f>
        <v>9</v>
      </c>
      <c r="O1413" t="str" cm="1">
        <f t="array" ref="O1413">_xlfn.IFS(orders[[#This Row],[Customer Gender]] = "M", "Male",orders[[#This Row],[Customer Gender]] = "F", "Female",orders[[#This Row],[Customer Gender]] = "O", "Others",TRUE,"Unknown")</f>
        <v>Others</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 - orders[[#This Row],[Order Date]]</f>
        <v>1</v>
      </c>
      <c r="N1414">
        <f>WEEKNUM(orders[[#This Row],[Order Date]])</f>
        <v>9</v>
      </c>
      <c r="O1414" t="str" cm="1">
        <f t="array" ref="O1414">_xlfn.IFS(orders[[#This Row],[Customer Gender]] = "M", "Male",orders[[#This Row],[Customer Gender]] = "F", "Female",orders[[#This Row],[Customer Gender]] = "O", "Others",TRUE,"Unknown")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 - orders[[#This Row],[Order Date]]</f>
        <v>1</v>
      </c>
      <c r="N1415">
        <f>WEEKNUM(orders[[#This Row],[Order Date]])</f>
        <v>9</v>
      </c>
      <c r="O1415" t="str" cm="1">
        <f t="array" ref="O1415">_xlfn.IFS(orders[[#This Row],[Customer Gender]] = "M", "Male",orders[[#This Row],[Customer Gender]] = "F", "Female",orders[[#This Row],[Customer Gender]] = "O", "Others",TRUE,"Unknown")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 - orders[[#This Row],[Order Date]]</f>
        <v>2</v>
      </c>
      <c r="N1416">
        <f>WEEKNUM(orders[[#This Row],[Order Date]])</f>
        <v>9</v>
      </c>
      <c r="O1416" t="str" cm="1">
        <f t="array" ref="O1416">_xlfn.IFS(orders[[#This Row],[Customer Gender]] = "M", "Male",orders[[#This Row],[Customer Gender]] = "F", "Female",orders[[#This Row],[Customer Gender]] = "O", "Others",TRUE,"Unknown")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 - orders[[#This Row],[Order Date]]</f>
        <v>2</v>
      </c>
      <c r="N1417">
        <f>WEEKNUM(orders[[#This Row],[Order Date]])</f>
        <v>9</v>
      </c>
      <c r="O1417" t="str" cm="1">
        <f t="array" ref="O1417">_xlfn.IFS(orders[[#This Row],[Customer Gender]] = "M", "Male",orders[[#This Row],[Customer Gender]] = "F", "Female",orders[[#This Row],[Customer Gender]] = "O", "Others",TRUE,"Unknown")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 - orders[[#This Row],[Order Date]]</f>
        <v>1</v>
      </c>
      <c r="N1418">
        <f>WEEKNUM(orders[[#This Row],[Order Date]])</f>
        <v>9</v>
      </c>
      <c r="O1418" t="str" cm="1">
        <f t="array" ref="O1418">_xlfn.IFS(orders[[#This Row],[Customer Gender]] = "M", "Male",orders[[#This Row],[Customer Gender]] = "F", "Female",orders[[#This Row],[Customer Gender]] = "O", "Others",TRUE,"Unknown")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 - orders[[#This Row],[Order Date]]</f>
        <v>4</v>
      </c>
      <c r="N1419">
        <f>WEEKNUM(orders[[#This Row],[Order Date]])</f>
        <v>9</v>
      </c>
      <c r="O1419" t="str" cm="1">
        <f t="array" ref="O1419">_xlfn.IFS(orders[[#This Row],[Customer Gender]] = "M", "Male",orders[[#This Row],[Customer Gender]] = "F", "Female",orders[[#This Row],[Customer Gender]] = "O", "Others",TRUE,"Unknown")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 - orders[[#This Row],[Order Date]]</f>
        <v>2</v>
      </c>
      <c r="N1420">
        <f>WEEKNUM(orders[[#This Row],[Order Date]])</f>
        <v>9</v>
      </c>
      <c r="O1420" t="str" cm="1">
        <f t="array" ref="O1420">_xlfn.IFS(orders[[#This Row],[Customer Gender]] = "M", "Male",orders[[#This Row],[Customer Gender]] = "F", "Female",orders[[#This Row],[Customer Gender]] = "O", "Others",TRUE,"Unknown")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 - orders[[#This Row],[Order Date]]</f>
        <v>1</v>
      </c>
      <c r="N1421">
        <f>WEEKNUM(orders[[#This Row],[Order Date]])</f>
        <v>9</v>
      </c>
      <c r="O1421" t="str" cm="1">
        <f t="array" ref="O1421">_xlfn.IFS(orders[[#This Row],[Customer Gender]] = "M", "Male",orders[[#This Row],[Customer Gender]] = "F", "Female",orders[[#This Row],[Customer Gender]] = "O", "Others",TRUE,"Unknown")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 - orders[[#This Row],[Order Date]]</f>
        <v>2</v>
      </c>
      <c r="N1422">
        <f>WEEKNUM(orders[[#This Row],[Order Date]])</f>
        <v>9</v>
      </c>
      <c r="O1422" t="str" cm="1">
        <f t="array" ref="O1422">_xlfn.IFS(orders[[#This Row],[Customer Gender]] = "M", "Male",orders[[#This Row],[Customer Gender]] = "F", "Female",orders[[#This Row],[Customer Gender]] = "O", "Others",TRUE,"Unknown")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 - orders[[#This Row],[Order Date]]</f>
        <v>4</v>
      </c>
      <c r="N1423">
        <f>WEEKNUM(orders[[#This Row],[Order Date]])</f>
        <v>9</v>
      </c>
      <c r="O1423" t="str" cm="1">
        <f t="array" ref="O1423">_xlfn.IFS(orders[[#This Row],[Customer Gender]] = "M", "Male",orders[[#This Row],[Customer Gender]] = "F", "Female",orders[[#This Row],[Customer Gender]] = "O", "Others",TRUE,"Unknown")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 - orders[[#This Row],[Order Date]]</f>
        <v>1</v>
      </c>
      <c r="N1424">
        <f>WEEKNUM(orders[[#This Row],[Order Date]])</f>
        <v>9</v>
      </c>
      <c r="O1424" t="str" cm="1">
        <f t="array" ref="O1424">_xlfn.IFS(orders[[#This Row],[Customer Gender]] = "M", "Male",orders[[#This Row],[Customer Gender]] = "F", "Female",orders[[#This Row],[Customer Gender]] = "O", "Others",TRUE,"Unknown")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 - orders[[#This Row],[Order Date]]</f>
        <v>0</v>
      </c>
      <c r="N1425">
        <f>WEEKNUM(orders[[#This Row],[Order Date]])</f>
        <v>9</v>
      </c>
      <c r="O1425" t="str" cm="1">
        <f t="array" ref="O1425">_xlfn.IFS(orders[[#This Row],[Customer Gender]] = "M", "Male",orders[[#This Row],[Customer Gender]] = "F", "Female",orders[[#This Row],[Customer Gender]] = "O", "Others",TRUE,"Unknown")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 - orders[[#This Row],[Order Date]]</f>
        <v>0</v>
      </c>
      <c r="N1426">
        <f>WEEKNUM(orders[[#This Row],[Order Date]])</f>
        <v>9</v>
      </c>
      <c r="O1426" t="str" cm="1">
        <f t="array" ref="O1426">_xlfn.IFS(orders[[#This Row],[Customer Gender]] = "M", "Male",orders[[#This Row],[Customer Gender]] = "F", "Female",orders[[#This Row],[Customer Gender]] = "O", "Others",TRUE,"Unknown")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 - orders[[#This Row],[Order Date]]</f>
        <v>1</v>
      </c>
      <c r="N1427">
        <f>WEEKNUM(orders[[#This Row],[Order Date]])</f>
        <v>9</v>
      </c>
      <c r="O1427" t="str" cm="1">
        <f t="array" ref="O1427">_xlfn.IFS(orders[[#This Row],[Customer Gender]] = "M", "Male",orders[[#This Row],[Customer Gender]] = "F", "Female",orders[[#This Row],[Customer Gender]] = "O", "Others",TRUE,"Unknown")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 - orders[[#This Row],[Order Date]]</f>
        <v>2</v>
      </c>
      <c r="N1428">
        <f>WEEKNUM(orders[[#This Row],[Order Date]])</f>
        <v>9</v>
      </c>
      <c r="O1428" t="str" cm="1">
        <f t="array" ref="O1428">_xlfn.IFS(orders[[#This Row],[Customer Gender]] = "M", "Male",orders[[#This Row],[Customer Gender]] = "F", "Female",orders[[#This Row],[Customer Gender]] = "O", "Others",TRUE,"Unknown")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 - orders[[#This Row],[Order Date]]</f>
        <v>3</v>
      </c>
      <c r="N1429">
        <f>WEEKNUM(orders[[#This Row],[Order Date]])</f>
        <v>9</v>
      </c>
      <c r="O1429" t="str" cm="1">
        <f t="array" ref="O1429">_xlfn.IFS(orders[[#This Row],[Customer Gender]] = "M", "Male",orders[[#This Row],[Customer Gender]] = "F", "Female",orders[[#This Row],[Customer Gender]] = "O", "Others",TRUE,"Unknown")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 - orders[[#This Row],[Order Date]]</f>
        <v>2</v>
      </c>
      <c r="N1430">
        <f>WEEKNUM(orders[[#This Row],[Order Date]])</f>
        <v>9</v>
      </c>
      <c r="O1430" t="str" cm="1">
        <f t="array" ref="O1430">_xlfn.IFS(orders[[#This Row],[Customer Gender]] = "M", "Male",orders[[#This Row],[Customer Gender]] = "F", "Female",orders[[#This Row],[Customer Gender]] = "O", "Others",TRUE,"Unknown")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 - orders[[#This Row],[Order Date]]</f>
        <v>3</v>
      </c>
      <c r="N1431">
        <f>WEEKNUM(orders[[#This Row],[Order Date]])</f>
        <v>9</v>
      </c>
      <c r="O1431" t="str" cm="1">
        <f t="array" ref="O1431">_xlfn.IFS(orders[[#This Row],[Customer Gender]] = "M", "Male",orders[[#This Row],[Customer Gender]] = "F", "Female",orders[[#This Row],[Customer Gender]] = "O", "Others",TRUE,"Unknown")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 - orders[[#This Row],[Order Date]]</f>
        <v>1</v>
      </c>
      <c r="N1432">
        <f>WEEKNUM(orders[[#This Row],[Order Date]])</f>
        <v>9</v>
      </c>
      <c r="O1432" t="str" cm="1">
        <f t="array" ref="O1432">_xlfn.IFS(orders[[#This Row],[Customer Gender]] = "M", "Male",orders[[#This Row],[Customer Gender]] = "F", "Female",orders[[#This Row],[Customer Gender]] = "O", "Others",TRUE,"Unknown")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 - orders[[#This Row],[Order Date]]</f>
        <v>2</v>
      </c>
      <c r="N1433">
        <f>WEEKNUM(orders[[#This Row],[Order Date]])</f>
        <v>9</v>
      </c>
      <c r="O1433" t="str" cm="1">
        <f t="array" ref="O1433">_xlfn.IFS(orders[[#This Row],[Customer Gender]] = "M", "Male",orders[[#This Row],[Customer Gender]] = "F", "Female",orders[[#This Row],[Customer Gender]] = "O", "Others",TRUE,"Unknown")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 - orders[[#This Row],[Order Date]]</f>
        <v>2</v>
      </c>
      <c r="N1434">
        <f>WEEKNUM(orders[[#This Row],[Order Date]])</f>
        <v>9</v>
      </c>
      <c r="O1434" t="str" cm="1">
        <f t="array" ref="O1434">_xlfn.IFS(orders[[#This Row],[Customer Gender]] = "M", "Male",orders[[#This Row],[Customer Gender]] = "F", "Female",orders[[#This Row],[Customer Gender]] = "O", "Others",TRUE,"Unknown")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 - orders[[#This Row],[Order Date]]</f>
        <v>2</v>
      </c>
      <c r="N1435">
        <f>WEEKNUM(orders[[#This Row],[Order Date]])</f>
        <v>9</v>
      </c>
      <c r="O1435" t="str" cm="1">
        <f t="array" ref="O1435">_xlfn.IFS(orders[[#This Row],[Customer Gender]] = "M", "Male",orders[[#This Row],[Customer Gender]] = "F", "Female",orders[[#This Row],[Customer Gender]] = "O", "Others",TRUE,"Unknown")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 - orders[[#This Row],[Order Date]]</f>
        <v>2</v>
      </c>
      <c r="N1436">
        <f>WEEKNUM(orders[[#This Row],[Order Date]])</f>
        <v>9</v>
      </c>
      <c r="O1436" t="str" cm="1">
        <f t="array" ref="O1436">_xlfn.IFS(orders[[#This Row],[Customer Gender]] = "M", "Male",orders[[#This Row],[Customer Gender]] = "F", "Female",orders[[#This Row],[Customer Gender]] = "O", "Others",TRUE,"Unknown")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 - orders[[#This Row],[Order Date]]</f>
        <v>1</v>
      </c>
      <c r="N1437">
        <f>WEEKNUM(orders[[#This Row],[Order Date]])</f>
        <v>9</v>
      </c>
      <c r="O1437" t="str" cm="1">
        <f t="array" ref="O1437">_xlfn.IFS(orders[[#This Row],[Customer Gender]] = "M", "Male",orders[[#This Row],[Customer Gender]] = "F", "Female",orders[[#This Row],[Customer Gender]] = "O", "Others",TRUE,"Unknown")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 - orders[[#This Row],[Order Date]]</f>
        <v>14</v>
      </c>
      <c r="N1438">
        <f>WEEKNUM(orders[[#This Row],[Order Date]])</f>
        <v>9</v>
      </c>
      <c r="O1438" t="str" cm="1">
        <f t="array" ref="O1438">_xlfn.IFS(orders[[#This Row],[Customer Gender]] = "M", "Male",orders[[#This Row],[Customer Gender]] = "F", "Female",orders[[#This Row],[Customer Gender]] = "O", "Others",TRUE,"Unknown")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 - orders[[#This Row],[Order Date]]</f>
        <v>4</v>
      </c>
      <c r="N1439">
        <f>WEEKNUM(orders[[#This Row],[Order Date]])</f>
        <v>9</v>
      </c>
      <c r="O1439" t="str" cm="1">
        <f t="array" ref="O1439">_xlfn.IFS(orders[[#This Row],[Customer Gender]] = "M", "Male",orders[[#This Row],[Customer Gender]] = "F", "Female",orders[[#This Row],[Customer Gender]] = "O", "Others",TRUE,"Unknown")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 - orders[[#This Row],[Order Date]]</f>
        <v>2</v>
      </c>
      <c r="N1440">
        <f>WEEKNUM(orders[[#This Row],[Order Date]])</f>
        <v>9</v>
      </c>
      <c r="O1440" t="str" cm="1">
        <f t="array" ref="O1440">_xlfn.IFS(orders[[#This Row],[Customer Gender]] = "M", "Male",orders[[#This Row],[Customer Gender]] = "F", "Female",orders[[#This Row],[Customer Gender]] = "O", "Others",TRUE,"Unknown")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 - orders[[#This Row],[Order Date]]</f>
        <v>1</v>
      </c>
      <c r="N1441">
        <f>WEEKNUM(orders[[#This Row],[Order Date]])</f>
        <v>9</v>
      </c>
      <c r="O1441" t="str" cm="1">
        <f t="array" ref="O1441">_xlfn.IFS(orders[[#This Row],[Customer Gender]] = "M", "Male",orders[[#This Row],[Customer Gender]] = "F", "Female",orders[[#This Row],[Customer Gender]] = "O", "Others",TRUE,"Unknown")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 - orders[[#This Row],[Order Date]]</f>
        <v>0</v>
      </c>
      <c r="N1442">
        <f>WEEKNUM(orders[[#This Row],[Order Date]])</f>
        <v>9</v>
      </c>
      <c r="O1442" t="str" cm="1">
        <f t="array" ref="O1442">_xlfn.IFS(orders[[#This Row],[Customer Gender]] = "M", "Male",orders[[#This Row],[Customer Gender]] = "F", "Female",orders[[#This Row],[Customer Gender]] = "O", "Others",TRUE,"Unknown")</f>
        <v>Others</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 - orders[[#This Row],[Order Date]]</f>
        <v>4</v>
      </c>
      <c r="N1443">
        <f>WEEKNUM(orders[[#This Row],[Order Date]])</f>
        <v>9</v>
      </c>
      <c r="O1443" t="str" cm="1">
        <f t="array" ref="O1443">_xlfn.IFS(orders[[#This Row],[Customer Gender]] = "M", "Male",orders[[#This Row],[Customer Gender]] = "F", "Female",orders[[#This Row],[Customer Gender]] = "O", "Others",TRUE,"Unknown")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 - orders[[#This Row],[Order Date]]</f>
        <v>2</v>
      </c>
      <c r="N1444">
        <f>WEEKNUM(orders[[#This Row],[Order Date]])</f>
        <v>9</v>
      </c>
      <c r="O1444" t="str" cm="1">
        <f t="array" ref="O1444">_xlfn.IFS(orders[[#This Row],[Customer Gender]] = "M", "Male",orders[[#This Row],[Customer Gender]] = "F", "Female",orders[[#This Row],[Customer Gender]] = "O", "Others",TRUE,"Unknown")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 - orders[[#This Row],[Order Date]]</f>
        <v>4</v>
      </c>
      <c r="N1445">
        <f>WEEKNUM(orders[[#This Row],[Order Date]])</f>
        <v>9</v>
      </c>
      <c r="O1445" t="str" cm="1">
        <f t="array" ref="O1445">_xlfn.IFS(orders[[#This Row],[Customer Gender]] = "M", "Male",orders[[#This Row],[Customer Gender]] = "F", "Female",orders[[#This Row],[Customer Gender]] = "O", "Others",TRUE,"Unknown")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 - orders[[#This Row],[Order Date]]</f>
        <v>1</v>
      </c>
      <c r="N1446">
        <f>WEEKNUM(orders[[#This Row],[Order Date]])</f>
        <v>9</v>
      </c>
      <c r="O1446" t="str" cm="1">
        <f t="array" ref="O1446">_xlfn.IFS(orders[[#This Row],[Customer Gender]] = "M", "Male",orders[[#This Row],[Customer Gender]] = "F", "Female",orders[[#This Row],[Customer Gender]] = "O", "Others",TRUE,"Unknown")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 - orders[[#This Row],[Order Date]]</f>
        <v>0</v>
      </c>
      <c r="N1447">
        <f>WEEKNUM(orders[[#This Row],[Order Date]])</f>
        <v>9</v>
      </c>
      <c r="O1447" t="str" cm="1">
        <f t="array" ref="O1447">_xlfn.IFS(orders[[#This Row],[Customer Gender]] = "M", "Male",orders[[#This Row],[Customer Gender]] = "F", "Female",orders[[#This Row],[Customer Gender]] = "O", "Others",TRUE,"Unknown")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 - orders[[#This Row],[Order Date]]</f>
        <v>3</v>
      </c>
      <c r="N1448">
        <f>WEEKNUM(orders[[#This Row],[Order Date]])</f>
        <v>9</v>
      </c>
      <c r="O1448" t="str" cm="1">
        <f t="array" ref="O1448">_xlfn.IFS(orders[[#This Row],[Customer Gender]] = "M", "Male",orders[[#This Row],[Customer Gender]] = "F", "Female",orders[[#This Row],[Customer Gender]] = "O", "Others",TRUE,"Unknown")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 - orders[[#This Row],[Order Date]]</f>
        <v>1</v>
      </c>
      <c r="N1449">
        <f>WEEKNUM(orders[[#This Row],[Order Date]])</f>
        <v>9</v>
      </c>
      <c r="O1449" t="str" cm="1">
        <f t="array" ref="O1449">_xlfn.IFS(orders[[#This Row],[Customer Gender]] = "M", "Male",orders[[#This Row],[Customer Gender]] = "F", "Female",orders[[#This Row],[Customer Gender]] = "O", "Others",TRUE,"Unknown")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 - orders[[#This Row],[Order Date]]</f>
        <v>5</v>
      </c>
      <c r="N1450">
        <f>WEEKNUM(orders[[#This Row],[Order Date]])</f>
        <v>9</v>
      </c>
      <c r="O1450" t="str" cm="1">
        <f t="array" ref="O1450">_xlfn.IFS(orders[[#This Row],[Customer Gender]] = "M", "Male",orders[[#This Row],[Customer Gender]] = "F", "Female",orders[[#This Row],[Customer Gender]] = "O", "Others",TRUE,"Unknown")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 - orders[[#This Row],[Order Date]]</f>
        <v>1</v>
      </c>
      <c r="N1451">
        <f>WEEKNUM(orders[[#This Row],[Order Date]])</f>
        <v>9</v>
      </c>
      <c r="O1451" t="str" cm="1">
        <f t="array" ref="O1451">_xlfn.IFS(orders[[#This Row],[Customer Gender]] = "M", "Male",orders[[#This Row],[Customer Gender]] = "F", "Female",orders[[#This Row],[Customer Gender]] = "O", "Others",TRUE,"Unknown")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 - orders[[#This Row],[Order Date]]</f>
        <v>2</v>
      </c>
      <c r="N1452">
        <f>WEEKNUM(orders[[#This Row],[Order Date]])</f>
        <v>9</v>
      </c>
      <c r="O1452" t="str" cm="1">
        <f t="array" ref="O1452">_xlfn.IFS(orders[[#This Row],[Customer Gender]] = "M", "Male",orders[[#This Row],[Customer Gender]] = "F", "Female",orders[[#This Row],[Customer Gender]] = "O", "Others",TRUE,"Unknown")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 - orders[[#This Row],[Order Date]]</f>
        <v>2</v>
      </c>
      <c r="N1453">
        <f>WEEKNUM(orders[[#This Row],[Order Date]])</f>
        <v>9</v>
      </c>
      <c r="O1453" t="str" cm="1">
        <f t="array" ref="O1453">_xlfn.IFS(orders[[#This Row],[Customer Gender]] = "M", "Male",orders[[#This Row],[Customer Gender]] = "F", "Female",orders[[#This Row],[Customer Gender]] = "O", "Others",TRUE,"Unknown")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 - orders[[#This Row],[Order Date]]</f>
        <v>0</v>
      </c>
      <c r="N1454">
        <f>WEEKNUM(orders[[#This Row],[Order Date]])</f>
        <v>9</v>
      </c>
      <c r="O1454" t="str" cm="1">
        <f t="array" ref="O1454">_xlfn.IFS(orders[[#This Row],[Customer Gender]] = "M", "Male",orders[[#This Row],[Customer Gender]] = "F", "Female",orders[[#This Row],[Customer Gender]] = "O", "Others",TRUE,"Unknown")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 - orders[[#This Row],[Order Date]]</f>
        <v>3</v>
      </c>
      <c r="N1455">
        <f>WEEKNUM(orders[[#This Row],[Order Date]])</f>
        <v>9</v>
      </c>
      <c r="O1455" t="str" cm="1">
        <f t="array" ref="O1455">_xlfn.IFS(orders[[#This Row],[Customer Gender]] = "M", "Male",orders[[#This Row],[Customer Gender]] = "F", "Female",orders[[#This Row],[Customer Gender]] = "O", "Others",TRUE,"Unknown")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 - orders[[#This Row],[Order Date]]</f>
        <v>1</v>
      </c>
      <c r="N1456">
        <f>WEEKNUM(orders[[#This Row],[Order Date]])</f>
        <v>9</v>
      </c>
      <c r="O1456" t="str" cm="1">
        <f t="array" ref="O1456">_xlfn.IFS(orders[[#This Row],[Customer Gender]] = "M", "Male",orders[[#This Row],[Customer Gender]] = "F", "Female",orders[[#This Row],[Customer Gender]] = "O", "Others",TRUE,"Unknown")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 - orders[[#This Row],[Order Date]]</f>
        <v>2</v>
      </c>
      <c r="N1457">
        <f>WEEKNUM(orders[[#This Row],[Order Date]])</f>
        <v>9</v>
      </c>
      <c r="O1457" t="str" cm="1">
        <f t="array" ref="O1457">_xlfn.IFS(orders[[#This Row],[Customer Gender]] = "M", "Male",orders[[#This Row],[Customer Gender]] = "F", "Female",orders[[#This Row],[Customer Gender]] = "O", "Others",TRUE,"Unknown")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 - orders[[#This Row],[Order Date]]</f>
        <v>1</v>
      </c>
      <c r="N1458">
        <f>WEEKNUM(orders[[#This Row],[Order Date]])</f>
        <v>9</v>
      </c>
      <c r="O1458" t="str" cm="1">
        <f t="array" ref="O1458">_xlfn.IFS(orders[[#This Row],[Customer Gender]] = "M", "Male",orders[[#This Row],[Customer Gender]] = "F", "Female",orders[[#This Row],[Customer Gender]] = "O", "Others",TRUE,"Unknown")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 - orders[[#This Row],[Order Date]]</f>
        <v>1</v>
      </c>
      <c r="N1459">
        <f>WEEKNUM(orders[[#This Row],[Order Date]])</f>
        <v>9</v>
      </c>
      <c r="O1459" t="str" cm="1">
        <f t="array" ref="O1459">_xlfn.IFS(orders[[#This Row],[Customer Gender]] = "M", "Male",orders[[#This Row],[Customer Gender]] = "F", "Female",orders[[#This Row],[Customer Gender]] = "O", "Others",TRUE,"Unknown")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 - orders[[#This Row],[Order Date]]</f>
        <v>1</v>
      </c>
      <c r="N1460">
        <f>WEEKNUM(orders[[#This Row],[Order Date]])</f>
        <v>9</v>
      </c>
      <c r="O1460" t="str" cm="1">
        <f t="array" ref="O1460">_xlfn.IFS(orders[[#This Row],[Customer Gender]] = "M", "Male",orders[[#This Row],[Customer Gender]] = "F", "Female",orders[[#This Row],[Customer Gender]] = "O", "Others",TRUE,"Unknown")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 - orders[[#This Row],[Order Date]]</f>
        <v>8</v>
      </c>
      <c r="N1461">
        <f>WEEKNUM(orders[[#This Row],[Order Date]])</f>
        <v>9</v>
      </c>
      <c r="O1461" t="str" cm="1">
        <f t="array" ref="O1461">_xlfn.IFS(orders[[#This Row],[Customer Gender]] = "M", "Male",orders[[#This Row],[Customer Gender]] = "F", "Female",orders[[#This Row],[Customer Gender]] = "O", "Others",TRUE,"Unknown")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 - orders[[#This Row],[Order Date]]</f>
        <v>4</v>
      </c>
      <c r="N1462">
        <f>WEEKNUM(orders[[#This Row],[Order Date]])</f>
        <v>9</v>
      </c>
      <c r="O1462" t="str" cm="1">
        <f t="array" ref="O1462">_xlfn.IFS(orders[[#This Row],[Customer Gender]] = "M", "Male",orders[[#This Row],[Customer Gender]] = "F", "Female",orders[[#This Row],[Customer Gender]] = "O", "Others",TRUE,"Unknown")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 - orders[[#This Row],[Order Date]]</f>
        <v>3</v>
      </c>
      <c r="N1463">
        <f>WEEKNUM(orders[[#This Row],[Order Date]])</f>
        <v>9</v>
      </c>
      <c r="O1463" t="str" cm="1">
        <f t="array" ref="O1463">_xlfn.IFS(orders[[#This Row],[Customer Gender]] = "M", "Male",orders[[#This Row],[Customer Gender]] = "F", "Female",orders[[#This Row],[Customer Gender]] = "O", "Others",TRUE,"Unknown")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 - orders[[#This Row],[Order Date]]</f>
        <v>3</v>
      </c>
      <c r="N1464">
        <f>WEEKNUM(orders[[#This Row],[Order Date]])</f>
        <v>9</v>
      </c>
      <c r="O1464" t="str" cm="1">
        <f t="array" ref="O1464">_xlfn.IFS(orders[[#This Row],[Customer Gender]] = "M", "Male",orders[[#This Row],[Customer Gender]] = "F", "Female",orders[[#This Row],[Customer Gender]] = "O", "Others",TRUE,"Unknown")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 - orders[[#This Row],[Order Date]]</f>
        <v>5</v>
      </c>
      <c r="N1465">
        <f>WEEKNUM(orders[[#This Row],[Order Date]])</f>
        <v>9</v>
      </c>
      <c r="O1465" t="str" cm="1">
        <f t="array" ref="O1465">_xlfn.IFS(orders[[#This Row],[Customer Gender]] = "M", "Male",orders[[#This Row],[Customer Gender]] = "F", "Female",orders[[#This Row],[Customer Gender]] = "O", "Others",TRUE,"Unknown")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 - orders[[#This Row],[Order Date]]</f>
        <v>1</v>
      </c>
      <c r="N1466">
        <f>WEEKNUM(orders[[#This Row],[Order Date]])</f>
        <v>9</v>
      </c>
      <c r="O1466" t="str" cm="1">
        <f t="array" ref="O1466">_xlfn.IFS(orders[[#This Row],[Customer Gender]] = "M", "Male",orders[[#This Row],[Customer Gender]] = "F", "Female",orders[[#This Row],[Customer Gender]] = "O", "Others",TRUE,"Unknown")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 - orders[[#This Row],[Order Date]]</f>
        <v>0</v>
      </c>
      <c r="N1467">
        <f>WEEKNUM(orders[[#This Row],[Order Date]])</f>
        <v>9</v>
      </c>
      <c r="O1467" t="str" cm="1">
        <f t="array" ref="O1467">_xlfn.IFS(orders[[#This Row],[Customer Gender]] = "M", "Male",orders[[#This Row],[Customer Gender]] = "F", "Female",orders[[#This Row],[Customer Gender]] = "O", "Others",TRUE,"Unknown")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 - orders[[#This Row],[Order Date]]</f>
        <v>1</v>
      </c>
      <c r="N1468">
        <f>WEEKNUM(orders[[#This Row],[Order Date]])</f>
        <v>9</v>
      </c>
      <c r="O1468" t="str" cm="1">
        <f t="array" ref="O1468">_xlfn.IFS(orders[[#This Row],[Customer Gender]] = "M", "Male",orders[[#This Row],[Customer Gender]] = "F", "Female",orders[[#This Row],[Customer Gender]] = "O", "Others",TRUE,"Unknown")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 - orders[[#This Row],[Order Date]]</f>
        <v>4</v>
      </c>
      <c r="N1469">
        <f>WEEKNUM(orders[[#This Row],[Order Date]])</f>
        <v>9</v>
      </c>
      <c r="O1469" t="str" cm="1">
        <f t="array" ref="O1469">_xlfn.IFS(orders[[#This Row],[Customer Gender]] = "M", "Male",orders[[#This Row],[Customer Gender]] = "F", "Female",orders[[#This Row],[Customer Gender]] = "O", "Others",TRUE,"Unknown")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 - orders[[#This Row],[Order Date]]</f>
        <v>1</v>
      </c>
      <c r="N1470">
        <f>WEEKNUM(orders[[#This Row],[Order Date]])</f>
        <v>9</v>
      </c>
      <c r="O1470" t="str" cm="1">
        <f t="array" ref="O1470">_xlfn.IFS(orders[[#This Row],[Customer Gender]] = "M", "Male",orders[[#This Row],[Customer Gender]] = "F", "Female",orders[[#This Row],[Customer Gender]] = "O", "Others",TRUE,"Unknown")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 - orders[[#This Row],[Order Date]]</f>
        <v>1</v>
      </c>
      <c r="N1471">
        <f>WEEKNUM(orders[[#This Row],[Order Date]])</f>
        <v>9</v>
      </c>
      <c r="O1471" t="str" cm="1">
        <f t="array" ref="O1471">_xlfn.IFS(orders[[#This Row],[Customer Gender]] = "M", "Male",orders[[#This Row],[Customer Gender]] = "F", "Female",orders[[#This Row],[Customer Gender]] = "O", "Others",TRUE,"Unknown")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 - orders[[#This Row],[Order Date]]</f>
        <v>3</v>
      </c>
      <c r="N1472">
        <f>WEEKNUM(orders[[#This Row],[Order Date]])</f>
        <v>9</v>
      </c>
      <c r="O1472" t="str" cm="1">
        <f t="array" ref="O1472">_xlfn.IFS(orders[[#This Row],[Customer Gender]] = "M", "Male",orders[[#This Row],[Customer Gender]] = "F", "Female",orders[[#This Row],[Customer Gender]] = "O", "Others",TRUE,"Unknown")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 - orders[[#This Row],[Order Date]]</f>
        <v>2</v>
      </c>
      <c r="N1473">
        <f>WEEKNUM(orders[[#This Row],[Order Date]])</f>
        <v>9</v>
      </c>
      <c r="O1473" t="str" cm="1">
        <f t="array" ref="O1473">_xlfn.IFS(orders[[#This Row],[Customer Gender]] = "M", "Male",orders[[#This Row],[Customer Gender]] = "F", "Female",orders[[#This Row],[Customer Gender]] = "O", "Others",TRUE,"Unknown")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 - orders[[#This Row],[Order Date]]</f>
        <v>4</v>
      </c>
      <c r="N1474">
        <f>WEEKNUM(orders[[#This Row],[Order Date]])</f>
        <v>9</v>
      </c>
      <c r="O1474" t="str" cm="1">
        <f t="array" ref="O1474">_xlfn.IFS(orders[[#This Row],[Customer Gender]] = "M", "Male",orders[[#This Row],[Customer Gender]] = "F", "Female",orders[[#This Row],[Customer Gender]] = "O", "Others",TRUE,"Unknown")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 - orders[[#This Row],[Order Date]]</f>
        <v>0</v>
      </c>
      <c r="N1475">
        <f>WEEKNUM(orders[[#This Row],[Order Date]])</f>
        <v>9</v>
      </c>
      <c r="O1475" t="str" cm="1">
        <f t="array" ref="O1475">_xlfn.IFS(orders[[#This Row],[Customer Gender]] = "M", "Male",orders[[#This Row],[Customer Gender]] = "F", "Female",orders[[#This Row],[Customer Gender]] = "O", "Others",TRUE,"Unknown")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 - orders[[#This Row],[Order Date]]</f>
        <v>3</v>
      </c>
      <c r="N1476">
        <f>WEEKNUM(orders[[#This Row],[Order Date]])</f>
        <v>9</v>
      </c>
      <c r="O1476" t="str" cm="1">
        <f t="array" ref="O1476">_xlfn.IFS(orders[[#This Row],[Customer Gender]] = "M", "Male",orders[[#This Row],[Customer Gender]] = "F", "Female",orders[[#This Row],[Customer Gender]] = "O", "Others",TRUE,"Unknown")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 - orders[[#This Row],[Order Date]]</f>
        <v>1</v>
      </c>
      <c r="N1477">
        <f>WEEKNUM(orders[[#This Row],[Order Date]])</f>
        <v>9</v>
      </c>
      <c r="O1477" t="str" cm="1">
        <f t="array" ref="O1477">_xlfn.IFS(orders[[#This Row],[Customer Gender]] = "M", "Male",orders[[#This Row],[Customer Gender]] = "F", "Female",orders[[#This Row],[Customer Gender]] = "O", "Others",TRUE,"Unknown")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 - orders[[#This Row],[Order Date]]</f>
        <v>7</v>
      </c>
      <c r="N1478">
        <f>WEEKNUM(orders[[#This Row],[Order Date]])</f>
        <v>9</v>
      </c>
      <c r="O1478" t="str" cm="1">
        <f t="array" ref="O1478">_xlfn.IFS(orders[[#This Row],[Customer Gender]] = "M", "Male",orders[[#This Row],[Customer Gender]] = "F", "Female",orders[[#This Row],[Customer Gender]] = "O", "Others",TRUE,"Unknown")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 - orders[[#This Row],[Order Date]]</f>
        <v>4</v>
      </c>
      <c r="N1479">
        <f>WEEKNUM(orders[[#This Row],[Order Date]])</f>
        <v>9</v>
      </c>
      <c r="O1479" t="str" cm="1">
        <f t="array" ref="O1479">_xlfn.IFS(orders[[#This Row],[Customer Gender]] = "M", "Male",orders[[#This Row],[Customer Gender]] = "F", "Female",orders[[#This Row],[Customer Gender]] = "O", "Others",TRUE,"Unknown")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 - orders[[#This Row],[Order Date]]</f>
        <v>2</v>
      </c>
      <c r="N1480">
        <f>WEEKNUM(orders[[#This Row],[Order Date]])</f>
        <v>9</v>
      </c>
      <c r="O1480" t="str" cm="1">
        <f t="array" ref="O1480">_xlfn.IFS(orders[[#This Row],[Customer Gender]] = "M", "Male",orders[[#This Row],[Customer Gender]] = "F", "Female",orders[[#This Row],[Customer Gender]] = "O", "Others",TRUE,"Unknown")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 - orders[[#This Row],[Order Date]]</f>
        <v>5</v>
      </c>
      <c r="N1481">
        <f>WEEKNUM(orders[[#This Row],[Order Date]])</f>
        <v>9</v>
      </c>
      <c r="O1481" t="str" cm="1">
        <f t="array" ref="O1481">_xlfn.IFS(orders[[#This Row],[Customer Gender]] = "M", "Male",orders[[#This Row],[Customer Gender]] = "F", "Female",orders[[#This Row],[Customer Gender]] = "O", "Others",TRUE,"Unknown")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 - orders[[#This Row],[Order Date]]</f>
        <v>0</v>
      </c>
      <c r="N1482">
        <f>WEEKNUM(orders[[#This Row],[Order Date]])</f>
        <v>9</v>
      </c>
      <c r="O1482" t="str" cm="1">
        <f t="array" ref="O1482">_xlfn.IFS(orders[[#This Row],[Customer Gender]] = "M", "Male",orders[[#This Row],[Customer Gender]] = "F", "Female",orders[[#This Row],[Customer Gender]] = "O", "Others",TRUE,"Unknown")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 - orders[[#This Row],[Order Date]]</f>
        <v>3</v>
      </c>
      <c r="N1483">
        <f>WEEKNUM(orders[[#This Row],[Order Date]])</f>
        <v>9</v>
      </c>
      <c r="O1483" t="str" cm="1">
        <f t="array" ref="O1483">_xlfn.IFS(orders[[#This Row],[Customer Gender]] = "M", "Male",orders[[#This Row],[Customer Gender]] = "F", "Female",orders[[#This Row],[Customer Gender]] = "O", "Others",TRUE,"Unknown")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 - orders[[#This Row],[Order Date]]</f>
        <v>1</v>
      </c>
      <c r="N1484">
        <f>WEEKNUM(orders[[#This Row],[Order Date]])</f>
        <v>9</v>
      </c>
      <c r="O1484" t="str" cm="1">
        <f t="array" ref="O1484">_xlfn.IFS(orders[[#This Row],[Customer Gender]] = "M", "Male",orders[[#This Row],[Customer Gender]] = "F", "Female",orders[[#This Row],[Customer Gender]] = "O", "Others",TRUE,"Unknown")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 - orders[[#This Row],[Order Date]]</f>
        <v>1</v>
      </c>
      <c r="N1485">
        <f>WEEKNUM(orders[[#This Row],[Order Date]])</f>
        <v>9</v>
      </c>
      <c r="O1485" t="str" cm="1">
        <f t="array" ref="O1485">_xlfn.IFS(orders[[#This Row],[Customer Gender]] = "M", "Male",orders[[#This Row],[Customer Gender]] = "F", "Female",orders[[#This Row],[Customer Gender]] = "O", "Others",TRUE,"Unknown")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 - orders[[#This Row],[Order Date]]</f>
        <v>1</v>
      </c>
      <c r="N1486">
        <f>WEEKNUM(orders[[#This Row],[Order Date]])</f>
        <v>9</v>
      </c>
      <c r="O1486" t="str" cm="1">
        <f t="array" ref="O1486">_xlfn.IFS(orders[[#This Row],[Customer Gender]] = "M", "Male",orders[[#This Row],[Customer Gender]] = "F", "Female",orders[[#This Row],[Customer Gender]] = "O", "Others",TRUE,"Unknown")</f>
        <v>Others</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 - orders[[#This Row],[Order Date]]</f>
        <v>2</v>
      </c>
      <c r="N1487">
        <f>WEEKNUM(orders[[#This Row],[Order Date]])</f>
        <v>9</v>
      </c>
      <c r="O1487" t="str" cm="1">
        <f t="array" ref="O1487">_xlfn.IFS(orders[[#This Row],[Customer Gender]] = "M", "Male",orders[[#This Row],[Customer Gender]] = "F", "Female",orders[[#This Row],[Customer Gender]] = "O", "Others",TRUE,"Unknown")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 - orders[[#This Row],[Order Date]]</f>
        <v>2</v>
      </c>
      <c r="N1488">
        <f>WEEKNUM(orders[[#This Row],[Order Date]])</f>
        <v>9</v>
      </c>
      <c r="O1488" t="str" cm="1">
        <f t="array" ref="O1488">_xlfn.IFS(orders[[#This Row],[Customer Gender]] = "M", "Male",orders[[#This Row],[Customer Gender]] = "F", "Female",orders[[#This Row],[Customer Gender]] = "O", "Others",TRUE,"Unknown")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 - orders[[#This Row],[Order Date]]</f>
        <v>3</v>
      </c>
      <c r="N1489">
        <f>WEEKNUM(orders[[#This Row],[Order Date]])</f>
        <v>9</v>
      </c>
      <c r="O1489" t="str" cm="1">
        <f t="array" ref="O1489">_xlfn.IFS(orders[[#This Row],[Customer Gender]] = "M", "Male",orders[[#This Row],[Customer Gender]] = "F", "Female",orders[[#This Row],[Customer Gender]] = "O", "Others",TRUE,"Unknown")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 - orders[[#This Row],[Order Date]]</f>
        <v>2</v>
      </c>
      <c r="N1490">
        <f>WEEKNUM(orders[[#This Row],[Order Date]])</f>
        <v>9</v>
      </c>
      <c r="O1490" t="str" cm="1">
        <f t="array" ref="O1490">_xlfn.IFS(orders[[#This Row],[Customer Gender]] = "M", "Male",orders[[#This Row],[Customer Gender]] = "F", "Female",orders[[#This Row],[Customer Gender]] = "O", "Others",TRUE,"Unknown")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 - orders[[#This Row],[Order Date]]</f>
        <v>5</v>
      </c>
      <c r="N1491">
        <f>WEEKNUM(orders[[#This Row],[Order Date]])</f>
        <v>9</v>
      </c>
      <c r="O1491" t="str" cm="1">
        <f t="array" ref="O1491">_xlfn.IFS(orders[[#This Row],[Customer Gender]] = "M", "Male",orders[[#This Row],[Customer Gender]] = "F", "Female",orders[[#This Row],[Customer Gender]] = "O", "Others",TRUE,"Unknown")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 - orders[[#This Row],[Order Date]]</f>
        <v>3</v>
      </c>
      <c r="N1492">
        <f>WEEKNUM(orders[[#This Row],[Order Date]])</f>
        <v>9</v>
      </c>
      <c r="O1492" t="str" cm="1">
        <f t="array" ref="O1492">_xlfn.IFS(orders[[#This Row],[Customer Gender]] = "M", "Male",orders[[#This Row],[Customer Gender]] = "F", "Female",orders[[#This Row],[Customer Gender]] = "O", "Others",TRUE,"Unknown")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 - orders[[#This Row],[Order Date]]</f>
        <v>2</v>
      </c>
      <c r="N1493">
        <f>WEEKNUM(orders[[#This Row],[Order Date]])</f>
        <v>9</v>
      </c>
      <c r="O1493" t="str" cm="1">
        <f t="array" ref="O1493">_xlfn.IFS(orders[[#This Row],[Customer Gender]] = "M", "Male",orders[[#This Row],[Customer Gender]] = "F", "Female",orders[[#This Row],[Customer Gender]] = "O", "Others",TRUE,"Unknown")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 - orders[[#This Row],[Order Date]]</f>
        <v>3</v>
      </c>
      <c r="N1494">
        <f>WEEKNUM(orders[[#This Row],[Order Date]])</f>
        <v>9</v>
      </c>
      <c r="O1494" t="str" cm="1">
        <f t="array" ref="O1494">_xlfn.IFS(orders[[#This Row],[Customer Gender]] = "M", "Male",orders[[#This Row],[Customer Gender]] = "F", "Female",orders[[#This Row],[Customer Gender]] = "O", "Others",TRUE,"Unknown")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 - orders[[#This Row],[Order Date]]</f>
        <v>0</v>
      </c>
      <c r="N1495">
        <f>WEEKNUM(orders[[#This Row],[Order Date]])</f>
        <v>9</v>
      </c>
      <c r="O1495" t="str" cm="1">
        <f t="array" ref="O1495">_xlfn.IFS(orders[[#This Row],[Customer Gender]] = "M", "Male",orders[[#This Row],[Customer Gender]] = "F", "Female",orders[[#This Row],[Customer Gender]] = "O", "Others",TRUE,"Unknown")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 - orders[[#This Row],[Order Date]]</f>
        <v>2</v>
      </c>
      <c r="N1496">
        <f>WEEKNUM(orders[[#This Row],[Order Date]])</f>
        <v>9</v>
      </c>
      <c r="O1496" t="str" cm="1">
        <f t="array" ref="O1496">_xlfn.IFS(orders[[#This Row],[Customer Gender]] = "M", "Male",orders[[#This Row],[Customer Gender]] = "F", "Female",orders[[#This Row],[Customer Gender]] = "O", "Others",TRUE,"Unknown")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 - orders[[#This Row],[Order Date]]</f>
        <v>2</v>
      </c>
      <c r="N1497">
        <f>WEEKNUM(orders[[#This Row],[Order Date]])</f>
        <v>9</v>
      </c>
      <c r="O1497" t="str" cm="1">
        <f t="array" ref="O1497">_xlfn.IFS(orders[[#This Row],[Customer Gender]] = "M", "Male",orders[[#This Row],[Customer Gender]] = "F", "Female",orders[[#This Row],[Customer Gender]] = "O", "Others",TRUE,"Unknown")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 - orders[[#This Row],[Order Date]]</f>
        <v>2</v>
      </c>
      <c r="N1498">
        <f>WEEKNUM(orders[[#This Row],[Order Date]])</f>
        <v>9</v>
      </c>
      <c r="O1498" t="str" cm="1">
        <f t="array" ref="O1498">_xlfn.IFS(orders[[#This Row],[Customer Gender]] = "M", "Male",orders[[#This Row],[Customer Gender]] = "F", "Female",orders[[#This Row],[Customer Gender]] = "O", "Others",TRUE,"Unknown")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 - orders[[#This Row],[Order Date]]</f>
        <v>1</v>
      </c>
      <c r="N1499">
        <f>WEEKNUM(orders[[#This Row],[Order Date]])</f>
        <v>9</v>
      </c>
      <c r="O1499" t="str" cm="1">
        <f t="array" ref="O1499">_xlfn.IFS(orders[[#This Row],[Customer Gender]] = "M", "Male",orders[[#This Row],[Customer Gender]] = "F", "Female",orders[[#This Row],[Customer Gender]] = "O", "Others",TRUE,"Unknown")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 - orders[[#This Row],[Order Date]]</f>
        <v>1</v>
      </c>
      <c r="N1500">
        <f>WEEKNUM(orders[[#This Row],[Order Date]])</f>
        <v>9</v>
      </c>
      <c r="O1500" t="str" cm="1">
        <f t="array" ref="O1500">_xlfn.IFS(orders[[#This Row],[Customer Gender]] = "M", "Male",orders[[#This Row],[Customer Gender]] = "F", "Female",orders[[#This Row],[Customer Gender]] = "O", "Others",TRUE,"Unknown")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 - orders[[#This Row],[Order Date]]</f>
        <v>3</v>
      </c>
      <c r="N1501">
        <f>WEEKNUM(orders[[#This Row],[Order Date]])</f>
        <v>9</v>
      </c>
      <c r="O1501" t="str" cm="1">
        <f t="array" ref="O1501">_xlfn.IFS(orders[[#This Row],[Customer Gender]] = "M", "Male",orders[[#This Row],[Customer Gender]] = "F", "Female",orders[[#This Row],[Customer Gender]] = "O", "Others",TRUE,"Unknown")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 - orders[[#This Row],[Order Date]]</f>
        <v>6</v>
      </c>
      <c r="N1502">
        <f>WEEKNUM(orders[[#This Row],[Order Date]])</f>
        <v>9</v>
      </c>
      <c r="O1502" t="str" cm="1">
        <f t="array" ref="O1502">_xlfn.IFS(orders[[#This Row],[Customer Gender]] = "M", "Male",orders[[#This Row],[Customer Gender]] = "F", "Female",orders[[#This Row],[Customer Gender]] = "O", "Others",TRUE,"Unknown")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 - orders[[#This Row],[Order Date]]</f>
        <v>2</v>
      </c>
      <c r="N1503">
        <f>WEEKNUM(orders[[#This Row],[Order Date]])</f>
        <v>9</v>
      </c>
      <c r="O1503" t="str" cm="1">
        <f t="array" ref="O1503">_xlfn.IFS(orders[[#This Row],[Customer Gender]] = "M", "Male",orders[[#This Row],[Customer Gender]] = "F", "Female",orders[[#This Row],[Customer Gender]] = "O", "Others",TRUE,"Unknown")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 - orders[[#This Row],[Order Date]]</f>
        <v>3</v>
      </c>
      <c r="N1504">
        <f>WEEKNUM(orders[[#This Row],[Order Date]])</f>
        <v>9</v>
      </c>
      <c r="O1504" t="str" cm="1">
        <f t="array" ref="O1504">_xlfn.IFS(orders[[#This Row],[Customer Gender]] = "M", "Male",orders[[#This Row],[Customer Gender]] = "F", "Female",orders[[#This Row],[Customer Gender]] = "O", "Others",TRUE,"Unknown")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 - orders[[#This Row],[Order Date]]</f>
        <v>1</v>
      </c>
      <c r="N1505">
        <f>WEEKNUM(orders[[#This Row],[Order Date]])</f>
        <v>9</v>
      </c>
      <c r="O1505" t="str" cm="1">
        <f t="array" ref="O1505">_xlfn.IFS(orders[[#This Row],[Customer Gender]] = "M", "Male",orders[[#This Row],[Customer Gender]] = "F", "Female",orders[[#This Row],[Customer Gender]] = "O", "Others",TRUE,"Unknown")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 - orders[[#This Row],[Order Date]]</f>
        <v>5</v>
      </c>
      <c r="N1506">
        <f>WEEKNUM(orders[[#This Row],[Order Date]])</f>
        <v>9</v>
      </c>
      <c r="O1506" t="str" cm="1">
        <f t="array" ref="O1506">_xlfn.IFS(orders[[#This Row],[Customer Gender]] = "M", "Male",orders[[#This Row],[Customer Gender]] = "F", "Female",orders[[#This Row],[Customer Gender]] = "O", "Others",TRUE,"Unknown")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 - orders[[#This Row],[Order Date]]</f>
        <v>1</v>
      </c>
      <c r="N1507">
        <f>WEEKNUM(orders[[#This Row],[Order Date]])</f>
        <v>9</v>
      </c>
      <c r="O1507" t="str" cm="1">
        <f t="array" ref="O1507">_xlfn.IFS(orders[[#This Row],[Customer Gender]] = "M", "Male",orders[[#This Row],[Customer Gender]] = "F", "Female",orders[[#This Row],[Customer Gender]] = "O", "Others",TRUE,"Unknown")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 - orders[[#This Row],[Order Date]]</f>
        <v>8</v>
      </c>
      <c r="N1508">
        <f>WEEKNUM(orders[[#This Row],[Order Date]])</f>
        <v>9</v>
      </c>
      <c r="O1508" t="str" cm="1">
        <f t="array" ref="O1508">_xlfn.IFS(orders[[#This Row],[Customer Gender]] = "M", "Male",orders[[#This Row],[Customer Gender]] = "F", "Female",orders[[#This Row],[Customer Gender]] = "O", "Others",TRUE,"Unknown")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 - orders[[#This Row],[Order Date]]</f>
        <v>1</v>
      </c>
      <c r="N1509">
        <f>WEEKNUM(orders[[#This Row],[Order Date]])</f>
        <v>9</v>
      </c>
      <c r="O1509" t="str" cm="1">
        <f t="array" ref="O1509">_xlfn.IFS(orders[[#This Row],[Customer Gender]] = "M", "Male",orders[[#This Row],[Customer Gender]] = "F", "Female",orders[[#This Row],[Customer Gender]] = "O", "Others",TRUE,"Unknown")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 - orders[[#This Row],[Order Date]]</f>
        <v>0</v>
      </c>
      <c r="N1510">
        <f>WEEKNUM(orders[[#This Row],[Order Date]])</f>
        <v>9</v>
      </c>
      <c r="O1510" t="str" cm="1">
        <f t="array" ref="O1510">_xlfn.IFS(orders[[#This Row],[Customer Gender]] = "M", "Male",orders[[#This Row],[Customer Gender]] = "F", "Female",orders[[#This Row],[Customer Gender]] = "O", "Others",TRUE,"Unknown")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 - orders[[#This Row],[Order Date]]</f>
        <v>4</v>
      </c>
      <c r="N1511">
        <f>WEEKNUM(orders[[#This Row],[Order Date]])</f>
        <v>9</v>
      </c>
      <c r="O1511" t="str" cm="1">
        <f t="array" ref="O1511">_xlfn.IFS(orders[[#This Row],[Customer Gender]] = "M", "Male",orders[[#This Row],[Customer Gender]] = "F", "Female",orders[[#This Row],[Customer Gender]] = "O", "Others",TRUE,"Unknown")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 - orders[[#This Row],[Order Date]]</f>
        <v>2</v>
      </c>
      <c r="N1512">
        <f>WEEKNUM(orders[[#This Row],[Order Date]])</f>
        <v>9</v>
      </c>
      <c r="O1512" t="str" cm="1">
        <f t="array" ref="O1512">_xlfn.IFS(orders[[#This Row],[Customer Gender]] = "M", "Male",orders[[#This Row],[Customer Gender]] = "F", "Female",orders[[#This Row],[Customer Gender]] = "O", "Others",TRUE,"Unknown")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 - orders[[#This Row],[Order Date]]</f>
        <v>1</v>
      </c>
      <c r="N1513">
        <f>WEEKNUM(orders[[#This Row],[Order Date]])</f>
        <v>9</v>
      </c>
      <c r="O1513" t="str" cm="1">
        <f t="array" ref="O1513">_xlfn.IFS(orders[[#This Row],[Customer Gender]] = "M", "Male",orders[[#This Row],[Customer Gender]] = "F", "Female",orders[[#This Row],[Customer Gender]] = "O", "Others",TRUE,"Unknown")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 - orders[[#This Row],[Order Date]]</f>
        <v>2</v>
      </c>
      <c r="N1514">
        <f>WEEKNUM(orders[[#This Row],[Order Date]])</f>
        <v>9</v>
      </c>
      <c r="O1514" t="str" cm="1">
        <f t="array" ref="O1514">_xlfn.IFS(orders[[#This Row],[Customer Gender]] = "M", "Male",orders[[#This Row],[Customer Gender]] = "F", "Female",orders[[#This Row],[Customer Gender]] = "O", "Others",TRUE,"Unknown")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 - orders[[#This Row],[Order Date]]</f>
        <v>2</v>
      </c>
      <c r="N1515">
        <f>WEEKNUM(orders[[#This Row],[Order Date]])</f>
        <v>9</v>
      </c>
      <c r="O1515" t="str" cm="1">
        <f t="array" ref="O1515">_xlfn.IFS(orders[[#This Row],[Customer Gender]] = "M", "Male",orders[[#This Row],[Customer Gender]] = "F", "Female",orders[[#This Row],[Customer Gender]] = "O", "Others",TRUE,"Unknown")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 - orders[[#This Row],[Order Date]]</f>
        <v>7</v>
      </c>
      <c r="N1516">
        <f>WEEKNUM(orders[[#This Row],[Order Date]])</f>
        <v>9</v>
      </c>
      <c r="O1516" t="str" cm="1">
        <f t="array" ref="O1516">_xlfn.IFS(orders[[#This Row],[Customer Gender]] = "M", "Male",orders[[#This Row],[Customer Gender]] = "F", "Female",orders[[#This Row],[Customer Gender]] = "O", "Others",TRUE,"Unknown")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 - orders[[#This Row],[Order Date]]</f>
        <v>1</v>
      </c>
      <c r="N1517">
        <f>WEEKNUM(orders[[#This Row],[Order Date]])</f>
        <v>9</v>
      </c>
      <c r="O1517" t="str" cm="1">
        <f t="array" ref="O1517">_xlfn.IFS(orders[[#This Row],[Customer Gender]] = "M", "Male",orders[[#This Row],[Customer Gender]] = "F", "Female",orders[[#This Row],[Customer Gender]] = "O", "Others",TRUE,"Unknown")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 - orders[[#This Row],[Order Date]]</f>
        <v>2</v>
      </c>
      <c r="N1518">
        <f>WEEKNUM(orders[[#This Row],[Order Date]])</f>
        <v>9</v>
      </c>
      <c r="O1518" t="str" cm="1">
        <f t="array" ref="O1518">_xlfn.IFS(orders[[#This Row],[Customer Gender]] = "M", "Male",orders[[#This Row],[Customer Gender]] = "F", "Female",orders[[#This Row],[Customer Gender]] = "O", "Others",TRUE,"Unknown")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 - orders[[#This Row],[Order Date]]</f>
        <v>1</v>
      </c>
      <c r="N1519">
        <f>WEEKNUM(orders[[#This Row],[Order Date]])</f>
        <v>9</v>
      </c>
      <c r="O1519" t="str" cm="1">
        <f t="array" ref="O1519">_xlfn.IFS(orders[[#This Row],[Customer Gender]] = "M", "Male",orders[[#This Row],[Customer Gender]] = "F", "Female",orders[[#This Row],[Customer Gender]] = "O", "Others",TRUE,"Unknown")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 - orders[[#This Row],[Order Date]]</f>
        <v>4</v>
      </c>
      <c r="N1520">
        <f>WEEKNUM(orders[[#This Row],[Order Date]])</f>
        <v>9</v>
      </c>
      <c r="O1520" t="str" cm="1">
        <f t="array" ref="O1520">_xlfn.IFS(orders[[#This Row],[Customer Gender]] = "M", "Male",orders[[#This Row],[Customer Gender]] = "F", "Female",orders[[#This Row],[Customer Gender]] = "O", "Others",TRUE,"Unknown")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 - orders[[#This Row],[Order Date]]</f>
        <v>2</v>
      </c>
      <c r="N1521">
        <f>WEEKNUM(orders[[#This Row],[Order Date]])</f>
        <v>9</v>
      </c>
      <c r="O1521" t="str" cm="1">
        <f t="array" ref="O1521">_xlfn.IFS(orders[[#This Row],[Customer Gender]] = "M", "Male",orders[[#This Row],[Customer Gender]] = "F", "Female",orders[[#This Row],[Customer Gender]] = "O", "Others",TRUE,"Unknown")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 - orders[[#This Row],[Order Date]]</f>
        <v>2</v>
      </c>
      <c r="N1522">
        <f>WEEKNUM(orders[[#This Row],[Order Date]])</f>
        <v>9</v>
      </c>
      <c r="O1522" t="str" cm="1">
        <f t="array" ref="O1522">_xlfn.IFS(orders[[#This Row],[Customer Gender]] = "M", "Male",orders[[#This Row],[Customer Gender]] = "F", "Female",orders[[#This Row],[Customer Gender]] = "O", "Others",TRUE,"Unknown")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 - orders[[#This Row],[Order Date]]</f>
        <v>0</v>
      </c>
      <c r="N1523">
        <f>WEEKNUM(orders[[#This Row],[Order Date]])</f>
        <v>9</v>
      </c>
      <c r="O1523" t="str" cm="1">
        <f t="array" ref="O1523">_xlfn.IFS(orders[[#This Row],[Customer Gender]] = "M", "Male",orders[[#This Row],[Customer Gender]] = "F", "Female",orders[[#This Row],[Customer Gender]] = "O", "Others",TRUE,"Unknown")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 - orders[[#This Row],[Order Date]]</f>
        <v>3</v>
      </c>
      <c r="N1524">
        <f>WEEKNUM(orders[[#This Row],[Order Date]])</f>
        <v>9</v>
      </c>
      <c r="O1524" t="str" cm="1">
        <f t="array" ref="O1524">_xlfn.IFS(orders[[#This Row],[Customer Gender]] = "M", "Male",orders[[#This Row],[Customer Gender]] = "F", "Female",orders[[#This Row],[Customer Gender]] = "O", "Others",TRUE,"Unknown")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 - orders[[#This Row],[Order Date]]</f>
        <v>0</v>
      </c>
      <c r="N1525">
        <f>WEEKNUM(orders[[#This Row],[Order Date]])</f>
        <v>9</v>
      </c>
      <c r="O1525" t="str" cm="1">
        <f t="array" ref="O1525">_xlfn.IFS(orders[[#This Row],[Customer Gender]] = "M", "Male",orders[[#This Row],[Customer Gender]] = "F", "Female",orders[[#This Row],[Customer Gender]] = "O", "Others",TRUE,"Unknown")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 - orders[[#This Row],[Order Date]]</f>
        <v>5</v>
      </c>
      <c r="N1526">
        <f>WEEKNUM(orders[[#This Row],[Order Date]])</f>
        <v>9</v>
      </c>
      <c r="O1526" t="str" cm="1">
        <f t="array" ref="O1526">_xlfn.IFS(orders[[#This Row],[Customer Gender]] = "M", "Male",orders[[#This Row],[Customer Gender]] = "F", "Female",orders[[#This Row],[Customer Gender]] = "O", "Others",TRUE,"Unknown")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 - orders[[#This Row],[Order Date]]</f>
        <v>1</v>
      </c>
      <c r="N1527">
        <f>WEEKNUM(orders[[#This Row],[Order Date]])</f>
        <v>9</v>
      </c>
      <c r="O1527" t="str" cm="1">
        <f t="array" ref="O1527">_xlfn.IFS(orders[[#This Row],[Customer Gender]] = "M", "Male",orders[[#This Row],[Customer Gender]] = "F", "Female",orders[[#This Row],[Customer Gender]] = "O", "Others",TRUE,"Unknown")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 - orders[[#This Row],[Order Date]]</f>
        <v>0</v>
      </c>
      <c r="N1528">
        <f>WEEKNUM(orders[[#This Row],[Order Date]])</f>
        <v>9</v>
      </c>
      <c r="O1528" t="str" cm="1">
        <f t="array" ref="O1528">_xlfn.IFS(orders[[#This Row],[Customer Gender]] = "M", "Male",orders[[#This Row],[Customer Gender]] = "F", "Female",orders[[#This Row],[Customer Gender]] = "O", "Others",TRUE,"Unknown")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 - orders[[#This Row],[Order Date]]</f>
        <v>1</v>
      </c>
      <c r="N1529">
        <f>WEEKNUM(orders[[#This Row],[Order Date]])</f>
        <v>9</v>
      </c>
      <c r="O1529" t="str" cm="1">
        <f t="array" ref="O1529">_xlfn.IFS(orders[[#This Row],[Customer Gender]] = "M", "Male",orders[[#This Row],[Customer Gender]] = "F", "Female",orders[[#This Row],[Customer Gender]] = "O", "Others",TRUE,"Unknown")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 - orders[[#This Row],[Order Date]]</f>
        <v>2</v>
      </c>
      <c r="N1530">
        <f>WEEKNUM(orders[[#This Row],[Order Date]])</f>
        <v>9</v>
      </c>
      <c r="O1530" t="str" cm="1">
        <f t="array" ref="O1530">_xlfn.IFS(orders[[#This Row],[Customer Gender]] = "M", "Male",orders[[#This Row],[Customer Gender]] = "F", "Female",orders[[#This Row],[Customer Gender]] = "O", "Others",TRUE,"Unknown")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 - orders[[#This Row],[Order Date]]</f>
        <v>3</v>
      </c>
      <c r="N1531">
        <f>WEEKNUM(orders[[#This Row],[Order Date]])</f>
        <v>9</v>
      </c>
      <c r="O1531" t="str" cm="1">
        <f t="array" ref="O1531">_xlfn.IFS(orders[[#This Row],[Customer Gender]] = "M", "Male",orders[[#This Row],[Customer Gender]] = "F", "Female",orders[[#This Row],[Customer Gender]] = "O", "Others",TRUE,"Unknown")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 - orders[[#This Row],[Order Date]]</f>
        <v>2</v>
      </c>
      <c r="N1532">
        <f>WEEKNUM(orders[[#This Row],[Order Date]])</f>
        <v>9</v>
      </c>
      <c r="O1532" t="str" cm="1">
        <f t="array" ref="O1532">_xlfn.IFS(orders[[#This Row],[Customer Gender]] = "M", "Male",orders[[#This Row],[Customer Gender]] = "F", "Female",orders[[#This Row],[Customer Gender]] = "O", "Others",TRUE,"Unknown")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 - orders[[#This Row],[Order Date]]</f>
        <v>0</v>
      </c>
      <c r="N1533">
        <f>WEEKNUM(orders[[#This Row],[Order Date]])</f>
        <v>9</v>
      </c>
      <c r="O1533" t="str" cm="1">
        <f t="array" ref="O1533">_xlfn.IFS(orders[[#This Row],[Customer Gender]] = "M", "Male",orders[[#This Row],[Customer Gender]] = "F", "Female",orders[[#This Row],[Customer Gender]] = "O", "Others",TRUE,"Unknown")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 - orders[[#This Row],[Order Date]]</f>
        <v>1</v>
      </c>
      <c r="N1534">
        <f>WEEKNUM(orders[[#This Row],[Order Date]])</f>
        <v>9</v>
      </c>
      <c r="O1534" t="str" cm="1">
        <f t="array" ref="O1534">_xlfn.IFS(orders[[#This Row],[Customer Gender]] = "M", "Male",orders[[#This Row],[Customer Gender]] = "F", "Female",orders[[#This Row],[Customer Gender]] = "O", "Others",TRUE,"Unknown")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 - orders[[#This Row],[Order Date]]</f>
        <v>1</v>
      </c>
      <c r="N1535">
        <f>WEEKNUM(orders[[#This Row],[Order Date]])</f>
        <v>9</v>
      </c>
      <c r="O1535" t="str" cm="1">
        <f t="array" ref="O1535">_xlfn.IFS(orders[[#This Row],[Customer Gender]] = "M", "Male",orders[[#This Row],[Customer Gender]] = "F", "Female",orders[[#This Row],[Customer Gender]] = "O", "Others",TRUE,"Unknown")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 - orders[[#This Row],[Order Date]]</f>
        <v>4</v>
      </c>
      <c r="N1536">
        <f>WEEKNUM(orders[[#This Row],[Order Date]])</f>
        <v>9</v>
      </c>
      <c r="O1536" t="str" cm="1">
        <f t="array" ref="O1536">_xlfn.IFS(orders[[#This Row],[Customer Gender]] = "M", "Male",orders[[#This Row],[Customer Gender]] = "F", "Female",orders[[#This Row],[Customer Gender]] = "O", "Others",TRUE,"Unknown")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 - orders[[#This Row],[Order Date]]</f>
        <v>1</v>
      </c>
      <c r="N1537">
        <f>WEEKNUM(orders[[#This Row],[Order Date]])</f>
        <v>9</v>
      </c>
      <c r="O1537" t="str" cm="1">
        <f t="array" ref="O1537">_xlfn.IFS(orders[[#This Row],[Customer Gender]] = "M", "Male",orders[[#This Row],[Customer Gender]] = "F", "Female",orders[[#This Row],[Customer Gender]] = "O", "Others",TRUE,"Unknown")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 - orders[[#This Row],[Order Date]]</f>
        <v>3</v>
      </c>
      <c r="N1538">
        <f>WEEKNUM(orders[[#This Row],[Order Date]])</f>
        <v>9</v>
      </c>
      <c r="O1538" t="str" cm="1">
        <f t="array" ref="O1538">_xlfn.IFS(orders[[#This Row],[Customer Gender]] = "M", "Male",orders[[#This Row],[Customer Gender]] = "F", "Female",orders[[#This Row],[Customer Gender]] = "O", "Others",TRUE,"Unknown")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 - orders[[#This Row],[Order Date]]</f>
        <v>1</v>
      </c>
      <c r="N1539">
        <f>WEEKNUM(orders[[#This Row],[Order Date]])</f>
        <v>9</v>
      </c>
      <c r="O1539" t="str" cm="1">
        <f t="array" ref="O1539">_xlfn.IFS(orders[[#This Row],[Customer Gender]] = "M", "Male",orders[[#This Row],[Customer Gender]] = "F", "Female",orders[[#This Row],[Customer Gender]] = "O", "Others",TRUE,"Unknown")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 - orders[[#This Row],[Order Date]]</f>
        <v>3</v>
      </c>
      <c r="N1540">
        <f>WEEKNUM(orders[[#This Row],[Order Date]])</f>
        <v>9</v>
      </c>
      <c r="O1540" t="str" cm="1">
        <f t="array" ref="O1540">_xlfn.IFS(orders[[#This Row],[Customer Gender]] = "M", "Male",orders[[#This Row],[Customer Gender]] = "F", "Female",orders[[#This Row],[Customer Gender]] = "O", "Others",TRUE,"Unknown")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 - orders[[#This Row],[Order Date]]</f>
        <v>0</v>
      </c>
      <c r="N1541">
        <f>WEEKNUM(orders[[#This Row],[Order Date]])</f>
        <v>9</v>
      </c>
      <c r="O1541" t="str" cm="1">
        <f t="array" ref="O1541">_xlfn.IFS(orders[[#This Row],[Customer Gender]] = "M", "Male",orders[[#This Row],[Customer Gender]] = "F", "Female",orders[[#This Row],[Customer Gender]] = "O", "Others",TRUE,"Unknown")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 - orders[[#This Row],[Order Date]]</f>
        <v>0</v>
      </c>
      <c r="N1542">
        <f>WEEKNUM(orders[[#This Row],[Order Date]])</f>
        <v>9</v>
      </c>
      <c r="O1542" t="str" cm="1">
        <f t="array" ref="O1542">_xlfn.IFS(orders[[#This Row],[Customer Gender]] = "M", "Male",orders[[#This Row],[Customer Gender]] = "F", "Female",orders[[#This Row],[Customer Gender]] = "O", "Others",TRUE,"Unknown")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 - orders[[#This Row],[Order Date]]</f>
        <v>1</v>
      </c>
      <c r="N1543">
        <f>WEEKNUM(orders[[#This Row],[Order Date]])</f>
        <v>9</v>
      </c>
      <c r="O1543" t="str" cm="1">
        <f t="array" ref="O1543">_xlfn.IFS(orders[[#This Row],[Customer Gender]] = "M", "Male",orders[[#This Row],[Customer Gender]] = "F", "Female",orders[[#This Row],[Customer Gender]] = "O", "Others",TRUE,"Unknown")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 - orders[[#This Row],[Order Date]]</f>
        <v>3</v>
      </c>
      <c r="N1544">
        <f>WEEKNUM(orders[[#This Row],[Order Date]])</f>
        <v>9</v>
      </c>
      <c r="O1544" t="str" cm="1">
        <f t="array" ref="O1544">_xlfn.IFS(orders[[#This Row],[Customer Gender]] = "M", "Male",orders[[#This Row],[Customer Gender]] = "F", "Female",orders[[#This Row],[Customer Gender]] = "O", "Others",TRUE,"Unknown")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 - orders[[#This Row],[Order Date]]</f>
        <v>3</v>
      </c>
      <c r="N1545">
        <f>WEEKNUM(orders[[#This Row],[Order Date]])</f>
        <v>9</v>
      </c>
      <c r="O1545" t="str" cm="1">
        <f t="array" ref="O1545">_xlfn.IFS(orders[[#This Row],[Customer Gender]] = "M", "Male",orders[[#This Row],[Customer Gender]] = "F", "Female",orders[[#This Row],[Customer Gender]] = "O", "Others",TRUE,"Unknown")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 - orders[[#This Row],[Order Date]]</f>
        <v>0</v>
      </c>
      <c r="N1546">
        <f>WEEKNUM(orders[[#This Row],[Order Date]])</f>
        <v>9</v>
      </c>
      <c r="O1546" t="str" cm="1">
        <f t="array" ref="O1546">_xlfn.IFS(orders[[#This Row],[Customer Gender]] = "M", "Male",orders[[#This Row],[Customer Gender]] = "F", "Female",orders[[#This Row],[Customer Gender]] = "O", "Others",TRUE,"Unknown")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 - orders[[#This Row],[Order Date]]</f>
        <v>2</v>
      </c>
      <c r="N1547">
        <f>WEEKNUM(orders[[#This Row],[Order Date]])</f>
        <v>9</v>
      </c>
      <c r="O1547" t="str" cm="1">
        <f t="array" ref="O1547">_xlfn.IFS(orders[[#This Row],[Customer Gender]] = "M", "Male",orders[[#This Row],[Customer Gender]] = "F", "Female",orders[[#This Row],[Customer Gender]] = "O", "Others",TRUE,"Unknown")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 - orders[[#This Row],[Order Date]]</f>
        <v>14</v>
      </c>
      <c r="N1548">
        <f>WEEKNUM(orders[[#This Row],[Order Date]])</f>
        <v>9</v>
      </c>
      <c r="O1548" t="str" cm="1">
        <f t="array" ref="O1548">_xlfn.IFS(orders[[#This Row],[Customer Gender]] = "M", "Male",orders[[#This Row],[Customer Gender]] = "F", "Female",orders[[#This Row],[Customer Gender]] = "O", "Others",TRUE,"Unknown")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 - orders[[#This Row],[Order Date]]</f>
        <v>4</v>
      </c>
      <c r="N1549">
        <f>WEEKNUM(orders[[#This Row],[Order Date]])</f>
        <v>9</v>
      </c>
      <c r="O1549" t="str" cm="1">
        <f t="array" ref="O1549">_xlfn.IFS(orders[[#This Row],[Customer Gender]] = "M", "Male",orders[[#This Row],[Customer Gender]] = "F", "Female",orders[[#This Row],[Customer Gender]] = "O", "Others",TRUE,"Unknown")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 - orders[[#This Row],[Order Date]]</f>
        <v>1</v>
      </c>
      <c r="N1550">
        <f>WEEKNUM(orders[[#This Row],[Order Date]])</f>
        <v>9</v>
      </c>
      <c r="O1550" t="str" cm="1">
        <f t="array" ref="O1550">_xlfn.IFS(orders[[#This Row],[Customer Gender]] = "M", "Male",orders[[#This Row],[Customer Gender]] = "F", "Female",orders[[#This Row],[Customer Gender]] = "O", "Others",TRUE,"Unknown")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 - orders[[#This Row],[Order Date]]</f>
        <v>2</v>
      </c>
      <c r="N1551">
        <f>WEEKNUM(orders[[#This Row],[Order Date]])</f>
        <v>9</v>
      </c>
      <c r="O1551" t="str" cm="1">
        <f t="array" ref="O1551">_xlfn.IFS(orders[[#This Row],[Customer Gender]] = "M", "Male",orders[[#This Row],[Customer Gender]] = "F", "Female",orders[[#This Row],[Customer Gender]] = "O", "Others",TRUE,"Unknown")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 - orders[[#This Row],[Order Date]]</f>
        <v>4</v>
      </c>
      <c r="N1552">
        <f>WEEKNUM(orders[[#This Row],[Order Date]])</f>
        <v>9</v>
      </c>
      <c r="O1552" t="str" cm="1">
        <f t="array" ref="O1552">_xlfn.IFS(orders[[#This Row],[Customer Gender]] = "M", "Male",orders[[#This Row],[Customer Gender]] = "F", "Female",orders[[#This Row],[Customer Gender]] = "O", "Others",TRUE,"Unknown")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 - orders[[#This Row],[Order Date]]</f>
        <v>2</v>
      </c>
      <c r="N1553">
        <f>WEEKNUM(orders[[#This Row],[Order Date]])</f>
        <v>9</v>
      </c>
      <c r="O1553" t="str" cm="1">
        <f t="array" ref="O1553">_xlfn.IFS(orders[[#This Row],[Customer Gender]] = "M", "Male",orders[[#This Row],[Customer Gender]] = "F", "Female",orders[[#This Row],[Customer Gender]] = "O", "Others",TRUE,"Unknown")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 - orders[[#This Row],[Order Date]]</f>
        <v>3</v>
      </c>
      <c r="N1554">
        <f>WEEKNUM(orders[[#This Row],[Order Date]])</f>
        <v>9</v>
      </c>
      <c r="O1554" t="str" cm="1">
        <f t="array" ref="O1554">_xlfn.IFS(orders[[#This Row],[Customer Gender]] = "M", "Male",orders[[#This Row],[Customer Gender]] = "F", "Female",orders[[#This Row],[Customer Gender]] = "O", "Others",TRUE,"Unknown")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 - orders[[#This Row],[Order Date]]</f>
        <v>1</v>
      </c>
      <c r="N1555">
        <f>WEEKNUM(orders[[#This Row],[Order Date]])</f>
        <v>9</v>
      </c>
      <c r="O1555" t="str" cm="1">
        <f t="array" ref="O1555">_xlfn.IFS(orders[[#This Row],[Customer Gender]] = "M", "Male",orders[[#This Row],[Customer Gender]] = "F", "Female",orders[[#This Row],[Customer Gender]] = "O", "Others",TRUE,"Unknown")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 - orders[[#This Row],[Order Date]]</f>
        <v>2</v>
      </c>
      <c r="N1556">
        <f>WEEKNUM(orders[[#This Row],[Order Date]])</f>
        <v>9</v>
      </c>
      <c r="O1556" t="str" cm="1">
        <f t="array" ref="O1556">_xlfn.IFS(orders[[#This Row],[Customer Gender]] = "M", "Male",orders[[#This Row],[Customer Gender]] = "F", "Female",orders[[#This Row],[Customer Gender]] = "O", "Others",TRUE,"Unknown")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 - orders[[#This Row],[Order Date]]</f>
        <v>3</v>
      </c>
      <c r="N1557">
        <f>WEEKNUM(orders[[#This Row],[Order Date]])</f>
        <v>9</v>
      </c>
      <c r="O1557" t="str" cm="1">
        <f t="array" ref="O1557">_xlfn.IFS(orders[[#This Row],[Customer Gender]] = "M", "Male",orders[[#This Row],[Customer Gender]] = "F", "Female",orders[[#This Row],[Customer Gender]] = "O", "Others",TRUE,"Unknown")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 - orders[[#This Row],[Order Date]]</f>
        <v>5</v>
      </c>
      <c r="N1558">
        <f>WEEKNUM(orders[[#This Row],[Order Date]])</f>
        <v>9</v>
      </c>
      <c r="O1558" t="str" cm="1">
        <f t="array" ref="O1558">_xlfn.IFS(orders[[#This Row],[Customer Gender]] = "M", "Male",orders[[#This Row],[Customer Gender]] = "F", "Female",orders[[#This Row],[Customer Gender]] = "O", "Others",TRUE,"Unknown")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 - orders[[#This Row],[Order Date]]</f>
        <v>11</v>
      </c>
      <c r="N1559">
        <f>WEEKNUM(orders[[#This Row],[Order Date]])</f>
        <v>9</v>
      </c>
      <c r="O1559" t="str" cm="1">
        <f t="array" ref="O1559">_xlfn.IFS(orders[[#This Row],[Customer Gender]] = "M", "Male",orders[[#This Row],[Customer Gender]] = "F", "Female",orders[[#This Row],[Customer Gender]] = "O", "Others",TRUE,"Unknown")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 - orders[[#This Row],[Order Date]]</f>
        <v>0</v>
      </c>
      <c r="N1560">
        <f>WEEKNUM(orders[[#This Row],[Order Date]])</f>
        <v>9</v>
      </c>
      <c r="O1560" t="str" cm="1">
        <f t="array" ref="O1560">_xlfn.IFS(orders[[#This Row],[Customer Gender]] = "M", "Male",orders[[#This Row],[Customer Gender]] = "F", "Female",orders[[#This Row],[Customer Gender]] = "O", "Others",TRUE,"Unknown")</f>
        <v>Others</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 - orders[[#This Row],[Order Date]]</f>
        <v>2</v>
      </c>
      <c r="N1561">
        <f>WEEKNUM(orders[[#This Row],[Order Date]])</f>
        <v>9</v>
      </c>
      <c r="O1561" t="str" cm="1">
        <f t="array" ref="O1561">_xlfn.IFS(orders[[#This Row],[Customer Gender]] = "M", "Male",orders[[#This Row],[Customer Gender]] = "F", "Female",orders[[#This Row],[Customer Gender]] = "O", "Others",TRUE,"Unknown")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 - orders[[#This Row],[Order Date]]</f>
        <v>1</v>
      </c>
      <c r="N1562">
        <f>WEEKNUM(orders[[#This Row],[Order Date]])</f>
        <v>9</v>
      </c>
      <c r="O1562" t="str" cm="1">
        <f t="array" ref="O1562">_xlfn.IFS(orders[[#This Row],[Customer Gender]] = "M", "Male",orders[[#This Row],[Customer Gender]] = "F", "Female",orders[[#This Row],[Customer Gender]] = "O", "Others",TRUE,"Unknown")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 - orders[[#This Row],[Order Date]]</f>
        <v>3</v>
      </c>
      <c r="N1563">
        <f>WEEKNUM(orders[[#This Row],[Order Date]])</f>
        <v>9</v>
      </c>
      <c r="O1563" t="str" cm="1">
        <f t="array" ref="O1563">_xlfn.IFS(orders[[#This Row],[Customer Gender]] = "M", "Male",orders[[#This Row],[Customer Gender]] = "F", "Female",orders[[#This Row],[Customer Gender]] = "O", "Others",TRUE,"Unknown")</f>
        <v>Others</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 - orders[[#This Row],[Order Date]]</f>
        <v>1</v>
      </c>
      <c r="N1564">
        <f>WEEKNUM(orders[[#This Row],[Order Date]])</f>
        <v>9</v>
      </c>
      <c r="O1564" t="str" cm="1">
        <f t="array" ref="O1564">_xlfn.IFS(orders[[#This Row],[Customer Gender]] = "M", "Male",orders[[#This Row],[Customer Gender]] = "F", "Female",orders[[#This Row],[Customer Gender]] = "O", "Others",TRUE,"Unknown")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 - orders[[#This Row],[Order Date]]</f>
        <v>0</v>
      </c>
      <c r="N1565">
        <f>WEEKNUM(orders[[#This Row],[Order Date]])</f>
        <v>9</v>
      </c>
      <c r="O1565" t="str" cm="1">
        <f t="array" ref="O1565">_xlfn.IFS(orders[[#This Row],[Customer Gender]] = "M", "Male",orders[[#This Row],[Customer Gender]] = "F", "Female",orders[[#This Row],[Customer Gender]] = "O", "Others",TRUE,"Unknown")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 - orders[[#This Row],[Order Date]]</f>
        <v>3</v>
      </c>
      <c r="N1566">
        <f>WEEKNUM(orders[[#This Row],[Order Date]])</f>
        <v>9</v>
      </c>
      <c r="O1566" t="str" cm="1">
        <f t="array" ref="O1566">_xlfn.IFS(orders[[#This Row],[Customer Gender]] = "M", "Male",orders[[#This Row],[Customer Gender]] = "F", "Female",orders[[#This Row],[Customer Gender]] = "O", "Others",TRUE,"Unknown")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 - orders[[#This Row],[Order Date]]</f>
        <v>1</v>
      </c>
      <c r="N1567">
        <f>WEEKNUM(orders[[#This Row],[Order Date]])</f>
        <v>9</v>
      </c>
      <c r="O1567" t="str" cm="1">
        <f t="array" ref="O1567">_xlfn.IFS(orders[[#This Row],[Customer Gender]] = "M", "Male",orders[[#This Row],[Customer Gender]] = "F", "Female",orders[[#This Row],[Customer Gender]] = "O", "Others",TRUE,"Unknown")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 - orders[[#This Row],[Order Date]]</f>
        <v>1</v>
      </c>
      <c r="N1568">
        <f>WEEKNUM(orders[[#This Row],[Order Date]])</f>
        <v>9</v>
      </c>
      <c r="O1568" t="str" cm="1">
        <f t="array" ref="O1568">_xlfn.IFS(orders[[#This Row],[Customer Gender]] = "M", "Male",orders[[#This Row],[Customer Gender]] = "F", "Female",orders[[#This Row],[Customer Gender]] = "O", "Others",TRUE,"Unknown")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 - orders[[#This Row],[Order Date]]</f>
        <v>2</v>
      </c>
      <c r="N1569">
        <f>WEEKNUM(orders[[#This Row],[Order Date]])</f>
        <v>9</v>
      </c>
      <c r="O1569" t="str" cm="1">
        <f t="array" ref="O1569">_xlfn.IFS(orders[[#This Row],[Customer Gender]] = "M", "Male",orders[[#This Row],[Customer Gender]] = "F", "Female",orders[[#This Row],[Customer Gender]] = "O", "Others",TRUE,"Unknown")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 - orders[[#This Row],[Order Date]]</f>
        <v>1</v>
      </c>
      <c r="N1570">
        <f>WEEKNUM(orders[[#This Row],[Order Date]])</f>
        <v>9</v>
      </c>
      <c r="O1570" t="str" cm="1">
        <f t="array" ref="O1570">_xlfn.IFS(orders[[#This Row],[Customer Gender]] = "M", "Male",orders[[#This Row],[Customer Gender]] = "F", "Female",orders[[#This Row],[Customer Gender]] = "O", "Others",TRUE,"Unknown")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 - orders[[#This Row],[Order Date]]</f>
        <v>4</v>
      </c>
      <c r="N1571">
        <f>WEEKNUM(orders[[#This Row],[Order Date]])</f>
        <v>9</v>
      </c>
      <c r="O1571" t="str" cm="1">
        <f t="array" ref="O1571">_xlfn.IFS(orders[[#This Row],[Customer Gender]] = "M", "Male",orders[[#This Row],[Customer Gender]] = "F", "Female",orders[[#This Row],[Customer Gender]] = "O", "Others",TRUE,"Unknown")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 - orders[[#This Row],[Order Date]]</f>
        <v>2</v>
      </c>
      <c r="N1572">
        <f>WEEKNUM(orders[[#This Row],[Order Date]])</f>
        <v>9</v>
      </c>
      <c r="O1572" t="str" cm="1">
        <f t="array" ref="O1572">_xlfn.IFS(orders[[#This Row],[Customer Gender]] = "M", "Male",orders[[#This Row],[Customer Gender]] = "F", "Female",orders[[#This Row],[Customer Gender]] = "O", "Others",TRUE,"Unknown")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 - orders[[#This Row],[Order Date]]</f>
        <v>1</v>
      </c>
      <c r="N1573">
        <f>WEEKNUM(orders[[#This Row],[Order Date]])</f>
        <v>9</v>
      </c>
      <c r="O1573" t="str" cm="1">
        <f t="array" ref="O1573">_xlfn.IFS(orders[[#This Row],[Customer Gender]] = "M", "Male",orders[[#This Row],[Customer Gender]] = "F", "Female",orders[[#This Row],[Customer Gender]] = "O", "Others",TRUE,"Unknown")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 - orders[[#This Row],[Order Date]]</f>
        <v>3</v>
      </c>
      <c r="N1574">
        <f>WEEKNUM(orders[[#This Row],[Order Date]])</f>
        <v>9</v>
      </c>
      <c r="O1574" t="str" cm="1">
        <f t="array" ref="O1574">_xlfn.IFS(orders[[#This Row],[Customer Gender]] = "M", "Male",orders[[#This Row],[Customer Gender]] = "F", "Female",orders[[#This Row],[Customer Gender]] = "O", "Others",TRUE,"Unknown")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 - orders[[#This Row],[Order Date]]</f>
        <v>1</v>
      </c>
      <c r="N1575">
        <f>WEEKNUM(orders[[#This Row],[Order Date]])</f>
        <v>9</v>
      </c>
      <c r="O1575" t="str" cm="1">
        <f t="array" ref="O1575">_xlfn.IFS(orders[[#This Row],[Customer Gender]] = "M", "Male",orders[[#This Row],[Customer Gender]] = "F", "Female",orders[[#This Row],[Customer Gender]] = "O", "Others",TRUE,"Unknown")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 - orders[[#This Row],[Order Date]]</f>
        <v>2</v>
      </c>
      <c r="N1576">
        <f>WEEKNUM(orders[[#This Row],[Order Date]])</f>
        <v>9</v>
      </c>
      <c r="O1576" t="str" cm="1">
        <f t="array" ref="O1576">_xlfn.IFS(orders[[#This Row],[Customer Gender]] = "M", "Male",orders[[#This Row],[Customer Gender]] = "F", "Female",orders[[#This Row],[Customer Gender]] = "O", "Others",TRUE,"Unknown")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 - orders[[#This Row],[Order Date]]</f>
        <v>2</v>
      </c>
      <c r="N1577">
        <f>WEEKNUM(orders[[#This Row],[Order Date]])</f>
        <v>9</v>
      </c>
      <c r="O1577" t="str" cm="1">
        <f t="array" ref="O1577">_xlfn.IFS(orders[[#This Row],[Customer Gender]] = "M", "Male",orders[[#This Row],[Customer Gender]] = "F", "Female",orders[[#This Row],[Customer Gender]] = "O", "Others",TRUE,"Unknown")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 - orders[[#This Row],[Order Date]]</f>
        <v>6</v>
      </c>
      <c r="N1578">
        <f>WEEKNUM(orders[[#This Row],[Order Date]])</f>
        <v>9</v>
      </c>
      <c r="O1578" t="str" cm="1">
        <f t="array" ref="O1578">_xlfn.IFS(orders[[#This Row],[Customer Gender]] = "M", "Male",orders[[#This Row],[Customer Gender]] = "F", "Female",orders[[#This Row],[Customer Gender]] = "O", "Others",TRUE,"Unknown")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 - orders[[#This Row],[Order Date]]</f>
        <v>2</v>
      </c>
      <c r="N1579">
        <f>WEEKNUM(orders[[#This Row],[Order Date]])</f>
        <v>9</v>
      </c>
      <c r="O1579" t="str" cm="1">
        <f t="array" ref="O1579">_xlfn.IFS(orders[[#This Row],[Customer Gender]] = "M", "Male",orders[[#This Row],[Customer Gender]] = "F", "Female",orders[[#This Row],[Customer Gender]] = "O", "Others",TRUE,"Unknown")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 - orders[[#This Row],[Order Date]]</f>
        <v>0</v>
      </c>
      <c r="N1580">
        <f>WEEKNUM(orders[[#This Row],[Order Date]])</f>
        <v>9</v>
      </c>
      <c r="O1580" t="str" cm="1">
        <f t="array" ref="O1580">_xlfn.IFS(orders[[#This Row],[Customer Gender]] = "M", "Male",orders[[#This Row],[Customer Gender]] = "F", "Female",orders[[#This Row],[Customer Gender]] = "O", "Others",TRUE,"Unknown")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 - orders[[#This Row],[Order Date]]</f>
        <v>2</v>
      </c>
      <c r="N1581">
        <f>WEEKNUM(orders[[#This Row],[Order Date]])</f>
        <v>9</v>
      </c>
      <c r="O1581" t="str" cm="1">
        <f t="array" ref="O1581">_xlfn.IFS(orders[[#This Row],[Customer Gender]] = "M", "Male",orders[[#This Row],[Customer Gender]] = "F", "Female",orders[[#This Row],[Customer Gender]] = "O", "Others",TRUE,"Unknown")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 - orders[[#This Row],[Order Date]]</f>
        <v>0</v>
      </c>
      <c r="N1582">
        <f>WEEKNUM(orders[[#This Row],[Order Date]])</f>
        <v>9</v>
      </c>
      <c r="O1582" t="str" cm="1">
        <f t="array" ref="O1582">_xlfn.IFS(orders[[#This Row],[Customer Gender]] = "M", "Male",orders[[#This Row],[Customer Gender]] = "F", "Female",orders[[#This Row],[Customer Gender]] = "O", "Others",TRUE,"Unknown")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 - orders[[#This Row],[Order Date]]</f>
        <v>5</v>
      </c>
      <c r="N1583">
        <f>WEEKNUM(orders[[#This Row],[Order Date]])</f>
        <v>9</v>
      </c>
      <c r="O1583" t="str" cm="1">
        <f t="array" ref="O1583">_xlfn.IFS(orders[[#This Row],[Customer Gender]] = "M", "Male",orders[[#This Row],[Customer Gender]] = "F", "Female",orders[[#This Row],[Customer Gender]] = "O", "Others",TRUE,"Unknown")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 - orders[[#This Row],[Order Date]]</f>
        <v>2</v>
      </c>
      <c r="N1584">
        <f>WEEKNUM(orders[[#This Row],[Order Date]])</f>
        <v>9</v>
      </c>
      <c r="O1584" t="str" cm="1">
        <f t="array" ref="O1584">_xlfn.IFS(orders[[#This Row],[Customer Gender]] = "M", "Male",orders[[#This Row],[Customer Gender]] = "F", "Female",orders[[#This Row],[Customer Gender]] = "O", "Others",TRUE,"Unknown")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 - orders[[#This Row],[Order Date]]</f>
        <v>1</v>
      </c>
      <c r="N1585">
        <f>WEEKNUM(orders[[#This Row],[Order Date]])</f>
        <v>9</v>
      </c>
      <c r="O1585" t="str" cm="1">
        <f t="array" ref="O1585">_xlfn.IFS(orders[[#This Row],[Customer Gender]] = "M", "Male",orders[[#This Row],[Customer Gender]] = "F", "Female",orders[[#This Row],[Customer Gender]] = "O", "Others",TRUE,"Unknown")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 - orders[[#This Row],[Order Date]]</f>
        <v>3</v>
      </c>
      <c r="N1586">
        <f>WEEKNUM(orders[[#This Row],[Order Date]])</f>
        <v>9</v>
      </c>
      <c r="O1586" t="str" cm="1">
        <f t="array" ref="O1586">_xlfn.IFS(orders[[#This Row],[Customer Gender]] = "M", "Male",orders[[#This Row],[Customer Gender]] = "F", "Female",orders[[#This Row],[Customer Gender]] = "O", "Others",TRUE,"Unknown")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 - orders[[#This Row],[Order Date]]</f>
        <v>1</v>
      </c>
      <c r="N1587">
        <f>WEEKNUM(orders[[#This Row],[Order Date]])</f>
        <v>9</v>
      </c>
      <c r="O1587" t="str" cm="1">
        <f t="array" ref="O1587">_xlfn.IFS(orders[[#This Row],[Customer Gender]] = "M", "Male",orders[[#This Row],[Customer Gender]] = "F", "Female",orders[[#This Row],[Customer Gender]] = "O", "Others",TRUE,"Unknown")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 - orders[[#This Row],[Order Date]]</f>
        <v>1</v>
      </c>
      <c r="N1588">
        <f>WEEKNUM(orders[[#This Row],[Order Date]])</f>
        <v>9</v>
      </c>
      <c r="O1588" t="str" cm="1">
        <f t="array" ref="O1588">_xlfn.IFS(orders[[#This Row],[Customer Gender]] = "M", "Male",orders[[#This Row],[Customer Gender]] = "F", "Female",orders[[#This Row],[Customer Gender]] = "O", "Others",TRUE,"Unknown")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 - orders[[#This Row],[Order Date]]</f>
        <v>1</v>
      </c>
      <c r="N1589">
        <f>WEEKNUM(orders[[#This Row],[Order Date]])</f>
        <v>9</v>
      </c>
      <c r="O1589" t="str" cm="1">
        <f t="array" ref="O1589">_xlfn.IFS(orders[[#This Row],[Customer Gender]] = "M", "Male",orders[[#This Row],[Customer Gender]] = "F", "Female",orders[[#This Row],[Customer Gender]] = "O", "Others",TRUE,"Unknown")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 - orders[[#This Row],[Order Date]]</f>
        <v>2</v>
      </c>
      <c r="N1590">
        <f>WEEKNUM(orders[[#This Row],[Order Date]])</f>
        <v>9</v>
      </c>
      <c r="O1590" t="str" cm="1">
        <f t="array" ref="O1590">_xlfn.IFS(orders[[#This Row],[Customer Gender]] = "M", "Male",orders[[#This Row],[Customer Gender]] = "F", "Female",orders[[#This Row],[Customer Gender]] = "O", "Others",TRUE,"Unknown")</f>
        <v>Others</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 - orders[[#This Row],[Order Date]]</f>
        <v>1</v>
      </c>
      <c r="N1591">
        <f>WEEKNUM(orders[[#This Row],[Order Date]])</f>
        <v>9</v>
      </c>
      <c r="O1591" t="str" cm="1">
        <f t="array" ref="O1591">_xlfn.IFS(orders[[#This Row],[Customer Gender]] = "M", "Male",orders[[#This Row],[Customer Gender]] = "F", "Female",orders[[#This Row],[Customer Gender]] = "O", "Others",TRUE,"Unknown")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 - orders[[#This Row],[Order Date]]</f>
        <v>2</v>
      </c>
      <c r="N1592">
        <f>WEEKNUM(orders[[#This Row],[Order Date]])</f>
        <v>9</v>
      </c>
      <c r="O1592" t="str" cm="1">
        <f t="array" ref="O1592">_xlfn.IFS(orders[[#This Row],[Customer Gender]] = "M", "Male",orders[[#This Row],[Customer Gender]] = "F", "Female",orders[[#This Row],[Customer Gender]] = "O", "Others",TRUE,"Unknown")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 - orders[[#This Row],[Order Date]]</f>
        <v>13</v>
      </c>
      <c r="N1593">
        <f>WEEKNUM(orders[[#This Row],[Order Date]])</f>
        <v>9</v>
      </c>
      <c r="O1593" t="str" cm="1">
        <f t="array" ref="O1593">_xlfn.IFS(orders[[#This Row],[Customer Gender]] = "M", "Male",orders[[#This Row],[Customer Gender]] = "F", "Female",orders[[#This Row],[Customer Gender]] = "O", "Others",TRUE,"Unknown")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 - orders[[#This Row],[Order Date]]</f>
        <v>1</v>
      </c>
      <c r="N1594">
        <f>WEEKNUM(orders[[#This Row],[Order Date]])</f>
        <v>9</v>
      </c>
      <c r="O1594" t="str" cm="1">
        <f t="array" ref="O1594">_xlfn.IFS(orders[[#This Row],[Customer Gender]] = "M", "Male",orders[[#This Row],[Customer Gender]] = "F", "Female",orders[[#This Row],[Customer Gender]] = "O", "Others",TRUE,"Unknown")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 - orders[[#This Row],[Order Date]]</f>
        <v>6</v>
      </c>
      <c r="N1595">
        <f>WEEKNUM(orders[[#This Row],[Order Date]])</f>
        <v>9</v>
      </c>
      <c r="O1595" t="str" cm="1">
        <f t="array" ref="O1595">_xlfn.IFS(orders[[#This Row],[Customer Gender]] = "M", "Male",orders[[#This Row],[Customer Gender]] = "F", "Female",orders[[#This Row],[Customer Gender]] = "O", "Others",TRUE,"Unknown")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 - orders[[#This Row],[Order Date]]</f>
        <v>5</v>
      </c>
      <c r="N1596">
        <f>WEEKNUM(orders[[#This Row],[Order Date]])</f>
        <v>9</v>
      </c>
      <c r="O1596" t="str" cm="1">
        <f t="array" ref="O1596">_xlfn.IFS(orders[[#This Row],[Customer Gender]] = "M", "Male",orders[[#This Row],[Customer Gender]] = "F", "Female",orders[[#This Row],[Customer Gender]] = "O", "Others",TRUE,"Unknown")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 - orders[[#This Row],[Order Date]]</f>
        <v>0</v>
      </c>
      <c r="N1597">
        <f>WEEKNUM(orders[[#This Row],[Order Date]])</f>
        <v>9</v>
      </c>
      <c r="O1597" t="str" cm="1">
        <f t="array" ref="O1597">_xlfn.IFS(orders[[#This Row],[Customer Gender]] = "M", "Male",orders[[#This Row],[Customer Gender]] = "F", "Female",orders[[#This Row],[Customer Gender]] = "O", "Others",TRUE,"Unknown")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 - orders[[#This Row],[Order Date]]</f>
        <v>1</v>
      </c>
      <c r="N1598">
        <f>WEEKNUM(orders[[#This Row],[Order Date]])</f>
        <v>9</v>
      </c>
      <c r="O1598" t="str" cm="1">
        <f t="array" ref="O1598">_xlfn.IFS(orders[[#This Row],[Customer Gender]] = "M", "Male",orders[[#This Row],[Customer Gender]] = "F", "Female",orders[[#This Row],[Customer Gender]] = "O", "Others",TRUE,"Unknown")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 - orders[[#This Row],[Order Date]]</f>
        <v>4</v>
      </c>
      <c r="N1599">
        <f>WEEKNUM(orders[[#This Row],[Order Date]])</f>
        <v>9</v>
      </c>
      <c r="O1599" t="str" cm="1">
        <f t="array" ref="O1599">_xlfn.IFS(orders[[#This Row],[Customer Gender]] = "M", "Male",orders[[#This Row],[Customer Gender]] = "F", "Female",orders[[#This Row],[Customer Gender]] = "O", "Others",TRUE,"Unknown")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 - orders[[#This Row],[Order Date]]</f>
        <v>1</v>
      </c>
      <c r="N1600">
        <f>WEEKNUM(orders[[#This Row],[Order Date]])</f>
        <v>9</v>
      </c>
      <c r="O1600" t="str" cm="1">
        <f t="array" ref="O1600">_xlfn.IFS(orders[[#This Row],[Customer Gender]] = "M", "Male",orders[[#This Row],[Customer Gender]] = "F", "Female",orders[[#This Row],[Customer Gender]] = "O", "Others",TRUE,"Unknown")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 - orders[[#This Row],[Order Date]]</f>
        <v>8</v>
      </c>
      <c r="N1601">
        <f>WEEKNUM(orders[[#This Row],[Order Date]])</f>
        <v>9</v>
      </c>
      <c r="O1601" t="str" cm="1">
        <f t="array" ref="O1601">_xlfn.IFS(orders[[#This Row],[Customer Gender]] = "M", "Male",orders[[#This Row],[Customer Gender]] = "F", "Female",orders[[#This Row],[Customer Gender]] = "O", "Others",TRUE,"Unknown")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 - orders[[#This Row],[Order Date]]</f>
        <v>2</v>
      </c>
      <c r="N1602">
        <f>WEEKNUM(orders[[#This Row],[Order Date]])</f>
        <v>9</v>
      </c>
      <c r="O1602" t="str" cm="1">
        <f t="array" ref="O1602">_xlfn.IFS(orders[[#This Row],[Customer Gender]] = "M", "Male",orders[[#This Row],[Customer Gender]] = "F", "Female",orders[[#This Row],[Customer Gender]] = "O", "Others",TRUE,"Unknown")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 - orders[[#This Row],[Order Date]]</f>
        <v>2</v>
      </c>
      <c r="N1603">
        <f>WEEKNUM(orders[[#This Row],[Order Date]])</f>
        <v>9</v>
      </c>
      <c r="O1603" t="str" cm="1">
        <f t="array" ref="O1603">_xlfn.IFS(orders[[#This Row],[Customer Gender]] = "M", "Male",orders[[#This Row],[Customer Gender]] = "F", "Female",orders[[#This Row],[Customer Gender]] = "O", "Others",TRUE,"Unknown")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 - orders[[#This Row],[Order Date]]</f>
        <v>0</v>
      </c>
      <c r="N1604">
        <f>WEEKNUM(orders[[#This Row],[Order Date]])</f>
        <v>9</v>
      </c>
      <c r="O1604" t="str" cm="1">
        <f t="array" ref="O1604">_xlfn.IFS(orders[[#This Row],[Customer Gender]] = "M", "Male",orders[[#This Row],[Customer Gender]] = "F", "Female",orders[[#This Row],[Customer Gender]] = "O", "Others",TRUE,"Unknown")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 - orders[[#This Row],[Order Date]]</f>
        <v>2</v>
      </c>
      <c r="N1605">
        <f>WEEKNUM(orders[[#This Row],[Order Date]])</f>
        <v>9</v>
      </c>
      <c r="O1605" t="str" cm="1">
        <f t="array" ref="O1605">_xlfn.IFS(orders[[#This Row],[Customer Gender]] = "M", "Male",orders[[#This Row],[Customer Gender]] = "F", "Female",orders[[#This Row],[Customer Gender]] = "O", "Others",TRUE,"Unknown")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 - orders[[#This Row],[Order Date]]</f>
        <v>1</v>
      </c>
      <c r="N1606">
        <f>WEEKNUM(orders[[#This Row],[Order Date]])</f>
        <v>9</v>
      </c>
      <c r="O1606" t="str" cm="1">
        <f t="array" ref="O1606">_xlfn.IFS(orders[[#This Row],[Customer Gender]] = "M", "Male",orders[[#This Row],[Customer Gender]] = "F", "Female",orders[[#This Row],[Customer Gender]] = "O", "Others",TRUE,"Unknown")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 - orders[[#This Row],[Order Date]]</f>
        <v>4</v>
      </c>
      <c r="N1607">
        <f>WEEKNUM(orders[[#This Row],[Order Date]])</f>
        <v>9</v>
      </c>
      <c r="O1607" t="str" cm="1">
        <f t="array" ref="O1607">_xlfn.IFS(orders[[#This Row],[Customer Gender]] = "M", "Male",orders[[#This Row],[Customer Gender]] = "F", "Female",orders[[#This Row],[Customer Gender]] = "O", "Others",TRUE,"Unknown")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 - orders[[#This Row],[Order Date]]</f>
        <v>1</v>
      </c>
      <c r="N1608">
        <f>WEEKNUM(orders[[#This Row],[Order Date]])</f>
        <v>9</v>
      </c>
      <c r="O1608" t="str" cm="1">
        <f t="array" ref="O1608">_xlfn.IFS(orders[[#This Row],[Customer Gender]] = "M", "Male",orders[[#This Row],[Customer Gender]] = "F", "Female",orders[[#This Row],[Customer Gender]] = "O", "Others",TRUE,"Unknown")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 - orders[[#This Row],[Order Date]]</f>
        <v>2</v>
      </c>
      <c r="N1609">
        <f>WEEKNUM(orders[[#This Row],[Order Date]])</f>
        <v>9</v>
      </c>
      <c r="O1609" t="str" cm="1">
        <f t="array" ref="O1609">_xlfn.IFS(orders[[#This Row],[Customer Gender]] = "M", "Male",orders[[#This Row],[Customer Gender]] = "F", "Female",orders[[#This Row],[Customer Gender]] = "O", "Others",TRUE,"Unknown")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 - orders[[#This Row],[Order Date]]</f>
        <v>1</v>
      </c>
      <c r="N1610">
        <f>WEEKNUM(orders[[#This Row],[Order Date]])</f>
        <v>9</v>
      </c>
      <c r="O1610" t="str" cm="1">
        <f t="array" ref="O1610">_xlfn.IFS(orders[[#This Row],[Customer Gender]] = "M", "Male",orders[[#This Row],[Customer Gender]] = "F", "Female",orders[[#This Row],[Customer Gender]] = "O", "Others",TRUE,"Unknown")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 - orders[[#This Row],[Order Date]]</f>
        <v>2</v>
      </c>
      <c r="N1611">
        <f>WEEKNUM(orders[[#This Row],[Order Date]])</f>
        <v>9</v>
      </c>
      <c r="O1611" t="str" cm="1">
        <f t="array" ref="O1611">_xlfn.IFS(orders[[#This Row],[Customer Gender]] = "M", "Male",orders[[#This Row],[Customer Gender]] = "F", "Female",orders[[#This Row],[Customer Gender]] = "O", "Others",TRUE,"Unknown")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 - orders[[#This Row],[Order Date]]</f>
        <v>1</v>
      </c>
      <c r="N1612">
        <f>WEEKNUM(orders[[#This Row],[Order Date]])</f>
        <v>9</v>
      </c>
      <c r="O1612" t="str" cm="1">
        <f t="array" ref="O1612">_xlfn.IFS(orders[[#This Row],[Customer Gender]] = "M", "Male",orders[[#This Row],[Customer Gender]] = "F", "Female",orders[[#This Row],[Customer Gender]] = "O", "Others",TRUE,"Unknown")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 - orders[[#This Row],[Order Date]]</f>
        <v>1</v>
      </c>
      <c r="N1613">
        <f>WEEKNUM(orders[[#This Row],[Order Date]])</f>
        <v>9</v>
      </c>
      <c r="O1613" t="str" cm="1">
        <f t="array" ref="O1613">_xlfn.IFS(orders[[#This Row],[Customer Gender]] = "M", "Male",orders[[#This Row],[Customer Gender]] = "F", "Female",orders[[#This Row],[Customer Gender]] = "O", "Others",TRUE,"Unknown")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 - orders[[#This Row],[Order Date]]</f>
        <v>4</v>
      </c>
      <c r="N1614">
        <f>WEEKNUM(orders[[#This Row],[Order Date]])</f>
        <v>9</v>
      </c>
      <c r="O1614" t="str" cm="1">
        <f t="array" ref="O1614">_xlfn.IFS(orders[[#This Row],[Customer Gender]] = "M", "Male",orders[[#This Row],[Customer Gender]] = "F", "Female",orders[[#This Row],[Customer Gender]] = "O", "Others",TRUE,"Unknown")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 - orders[[#This Row],[Order Date]]</f>
        <v>3</v>
      </c>
      <c r="N1615">
        <f>WEEKNUM(orders[[#This Row],[Order Date]])</f>
        <v>10</v>
      </c>
      <c r="O1615" t="str" cm="1">
        <f t="array" ref="O1615">_xlfn.IFS(orders[[#This Row],[Customer Gender]] = "M", "Male",orders[[#This Row],[Customer Gender]] = "F", "Female",orders[[#This Row],[Customer Gender]] = "O", "Others",TRUE,"Unknown")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 - orders[[#This Row],[Order Date]]</f>
        <v>2</v>
      </c>
      <c r="N1616">
        <f>WEEKNUM(orders[[#This Row],[Order Date]])</f>
        <v>10</v>
      </c>
      <c r="O1616" t="str" cm="1">
        <f t="array" ref="O1616">_xlfn.IFS(orders[[#This Row],[Customer Gender]] = "M", "Male",orders[[#This Row],[Customer Gender]] = "F", "Female",orders[[#This Row],[Customer Gender]] = "O", "Others",TRUE,"Unknown")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 - orders[[#This Row],[Order Date]]</f>
        <v>2</v>
      </c>
      <c r="N1617">
        <f>WEEKNUM(orders[[#This Row],[Order Date]])</f>
        <v>10</v>
      </c>
      <c r="O1617" t="str" cm="1">
        <f t="array" ref="O1617">_xlfn.IFS(orders[[#This Row],[Customer Gender]] = "M", "Male",orders[[#This Row],[Customer Gender]] = "F", "Female",orders[[#This Row],[Customer Gender]] = "O", "Others",TRUE,"Unknown")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 - orders[[#This Row],[Order Date]]</f>
        <v>3</v>
      </c>
      <c r="N1618">
        <f>WEEKNUM(orders[[#This Row],[Order Date]])</f>
        <v>10</v>
      </c>
      <c r="O1618" t="str" cm="1">
        <f t="array" ref="O1618">_xlfn.IFS(orders[[#This Row],[Customer Gender]] = "M", "Male",orders[[#This Row],[Customer Gender]] = "F", "Female",orders[[#This Row],[Customer Gender]] = "O", "Others",TRUE,"Unknown")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 - orders[[#This Row],[Order Date]]</f>
        <v>14</v>
      </c>
      <c r="N1619">
        <f>WEEKNUM(orders[[#This Row],[Order Date]])</f>
        <v>10</v>
      </c>
      <c r="O1619" t="str" cm="1">
        <f t="array" ref="O1619">_xlfn.IFS(orders[[#This Row],[Customer Gender]] = "M", "Male",orders[[#This Row],[Customer Gender]] = "F", "Female",orders[[#This Row],[Customer Gender]] = "O", "Others",TRUE,"Unknown")</f>
        <v>Others</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 - orders[[#This Row],[Order Date]]</f>
        <v>2</v>
      </c>
      <c r="N1620">
        <f>WEEKNUM(orders[[#This Row],[Order Date]])</f>
        <v>10</v>
      </c>
      <c r="O1620" t="str" cm="1">
        <f t="array" ref="O1620">_xlfn.IFS(orders[[#This Row],[Customer Gender]] = "M", "Male",orders[[#This Row],[Customer Gender]] = "F", "Female",orders[[#This Row],[Customer Gender]] = "O", "Others",TRUE,"Unknown")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 - orders[[#This Row],[Order Date]]</f>
        <v>0</v>
      </c>
      <c r="N1621">
        <f>WEEKNUM(orders[[#This Row],[Order Date]])</f>
        <v>10</v>
      </c>
      <c r="O1621" t="str" cm="1">
        <f t="array" ref="O1621">_xlfn.IFS(orders[[#This Row],[Customer Gender]] = "M", "Male",orders[[#This Row],[Customer Gender]] = "F", "Female",orders[[#This Row],[Customer Gender]] = "O", "Others",TRUE,"Unknown")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 - orders[[#This Row],[Order Date]]</f>
        <v>1</v>
      </c>
      <c r="N1622">
        <f>WEEKNUM(orders[[#This Row],[Order Date]])</f>
        <v>10</v>
      </c>
      <c r="O1622" t="str" cm="1">
        <f t="array" ref="O1622">_xlfn.IFS(orders[[#This Row],[Customer Gender]] = "M", "Male",orders[[#This Row],[Customer Gender]] = "F", "Female",orders[[#This Row],[Customer Gender]] = "O", "Others",TRUE,"Unknown")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 - orders[[#This Row],[Order Date]]</f>
        <v>2</v>
      </c>
      <c r="N1623">
        <f>WEEKNUM(orders[[#This Row],[Order Date]])</f>
        <v>10</v>
      </c>
      <c r="O1623" t="str" cm="1">
        <f t="array" ref="O1623">_xlfn.IFS(orders[[#This Row],[Customer Gender]] = "M", "Male",orders[[#This Row],[Customer Gender]] = "F", "Female",orders[[#This Row],[Customer Gender]] = "O", "Others",TRUE,"Unknown")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 - orders[[#This Row],[Order Date]]</f>
        <v>4</v>
      </c>
      <c r="N1624">
        <f>WEEKNUM(orders[[#This Row],[Order Date]])</f>
        <v>10</v>
      </c>
      <c r="O1624" t="str" cm="1">
        <f t="array" ref="O1624">_xlfn.IFS(orders[[#This Row],[Customer Gender]] = "M", "Male",orders[[#This Row],[Customer Gender]] = "F", "Female",orders[[#This Row],[Customer Gender]] = "O", "Others",TRUE,"Unknown")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 - orders[[#This Row],[Order Date]]</f>
        <v>1</v>
      </c>
      <c r="N1625">
        <f>WEEKNUM(orders[[#This Row],[Order Date]])</f>
        <v>10</v>
      </c>
      <c r="O1625" t="str" cm="1">
        <f t="array" ref="O1625">_xlfn.IFS(orders[[#This Row],[Customer Gender]] = "M", "Male",orders[[#This Row],[Customer Gender]] = "F", "Female",orders[[#This Row],[Customer Gender]] = "O", "Others",TRUE,"Unknown")</f>
        <v>Others</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 - orders[[#This Row],[Order Date]]</f>
        <v>1</v>
      </c>
      <c r="N1626">
        <f>WEEKNUM(orders[[#This Row],[Order Date]])</f>
        <v>10</v>
      </c>
      <c r="O1626" t="str" cm="1">
        <f t="array" ref="O1626">_xlfn.IFS(orders[[#This Row],[Customer Gender]] = "M", "Male",orders[[#This Row],[Customer Gender]] = "F", "Female",orders[[#This Row],[Customer Gender]] = "O", "Others",TRUE,"Unknown")</f>
        <v>Others</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 - orders[[#This Row],[Order Date]]</f>
        <v>4</v>
      </c>
      <c r="N1627">
        <f>WEEKNUM(orders[[#This Row],[Order Date]])</f>
        <v>10</v>
      </c>
      <c r="O1627" t="str" cm="1">
        <f t="array" ref="O1627">_xlfn.IFS(orders[[#This Row],[Customer Gender]] = "M", "Male",orders[[#This Row],[Customer Gender]] = "F", "Female",orders[[#This Row],[Customer Gender]] = "O", "Others",TRUE,"Unknown")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 - orders[[#This Row],[Order Date]]</f>
        <v>1</v>
      </c>
      <c r="N1628">
        <f>WEEKNUM(orders[[#This Row],[Order Date]])</f>
        <v>10</v>
      </c>
      <c r="O1628" t="str" cm="1">
        <f t="array" ref="O1628">_xlfn.IFS(orders[[#This Row],[Customer Gender]] = "M", "Male",orders[[#This Row],[Customer Gender]] = "F", "Female",orders[[#This Row],[Customer Gender]] = "O", "Others",TRUE,"Unknown")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 - orders[[#This Row],[Order Date]]</f>
        <v>2</v>
      </c>
      <c r="N1629">
        <f>WEEKNUM(orders[[#This Row],[Order Date]])</f>
        <v>10</v>
      </c>
      <c r="O1629" t="str" cm="1">
        <f t="array" ref="O1629">_xlfn.IFS(orders[[#This Row],[Customer Gender]] = "M", "Male",orders[[#This Row],[Customer Gender]] = "F", "Female",orders[[#This Row],[Customer Gender]] = "O", "Others",TRUE,"Unknown")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 - orders[[#This Row],[Order Date]]</f>
        <v>1</v>
      </c>
      <c r="N1630">
        <f>WEEKNUM(orders[[#This Row],[Order Date]])</f>
        <v>10</v>
      </c>
      <c r="O1630" t="str" cm="1">
        <f t="array" ref="O1630">_xlfn.IFS(orders[[#This Row],[Customer Gender]] = "M", "Male",orders[[#This Row],[Customer Gender]] = "F", "Female",orders[[#This Row],[Customer Gender]] = "O", "Others",TRUE,"Unknown")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 - orders[[#This Row],[Order Date]]</f>
        <v>3</v>
      </c>
      <c r="N1631">
        <f>WEEKNUM(orders[[#This Row],[Order Date]])</f>
        <v>10</v>
      </c>
      <c r="O1631" t="str" cm="1">
        <f t="array" ref="O1631">_xlfn.IFS(orders[[#This Row],[Customer Gender]] = "M", "Male",orders[[#This Row],[Customer Gender]] = "F", "Female",orders[[#This Row],[Customer Gender]] = "O", "Others",TRUE,"Unknown")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 - orders[[#This Row],[Order Date]]</f>
        <v>5</v>
      </c>
      <c r="N1632">
        <f>WEEKNUM(orders[[#This Row],[Order Date]])</f>
        <v>10</v>
      </c>
      <c r="O1632" t="str" cm="1">
        <f t="array" ref="O1632">_xlfn.IFS(orders[[#This Row],[Customer Gender]] = "M", "Male",orders[[#This Row],[Customer Gender]] = "F", "Female",orders[[#This Row],[Customer Gender]] = "O", "Others",TRUE,"Unknown")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 - orders[[#This Row],[Order Date]]</f>
        <v>2</v>
      </c>
      <c r="N1633">
        <f>WEEKNUM(orders[[#This Row],[Order Date]])</f>
        <v>10</v>
      </c>
      <c r="O1633" t="str" cm="1">
        <f t="array" ref="O1633">_xlfn.IFS(orders[[#This Row],[Customer Gender]] = "M", "Male",orders[[#This Row],[Customer Gender]] = "F", "Female",orders[[#This Row],[Customer Gender]] = "O", "Others",TRUE,"Unknown")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 - orders[[#This Row],[Order Date]]</f>
        <v>4</v>
      </c>
      <c r="N1634">
        <f>WEEKNUM(orders[[#This Row],[Order Date]])</f>
        <v>10</v>
      </c>
      <c r="O1634" t="str" cm="1">
        <f t="array" ref="O1634">_xlfn.IFS(orders[[#This Row],[Customer Gender]] = "M", "Male",orders[[#This Row],[Customer Gender]] = "F", "Female",orders[[#This Row],[Customer Gender]] = "O", "Others",TRUE,"Unknown")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 - orders[[#This Row],[Order Date]]</f>
        <v>2</v>
      </c>
      <c r="N1635">
        <f>WEEKNUM(orders[[#This Row],[Order Date]])</f>
        <v>10</v>
      </c>
      <c r="O1635" t="str" cm="1">
        <f t="array" ref="O1635">_xlfn.IFS(orders[[#This Row],[Customer Gender]] = "M", "Male",orders[[#This Row],[Customer Gender]] = "F", "Female",orders[[#This Row],[Customer Gender]] = "O", "Others",TRUE,"Unknown")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 - orders[[#This Row],[Order Date]]</f>
        <v>2</v>
      </c>
      <c r="N1636">
        <f>WEEKNUM(orders[[#This Row],[Order Date]])</f>
        <v>10</v>
      </c>
      <c r="O1636" t="str" cm="1">
        <f t="array" ref="O1636">_xlfn.IFS(orders[[#This Row],[Customer Gender]] = "M", "Male",orders[[#This Row],[Customer Gender]] = "F", "Female",orders[[#This Row],[Customer Gender]] = "O", "Others",TRUE,"Unknown")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 - orders[[#This Row],[Order Date]]</f>
        <v>14</v>
      </c>
      <c r="N1637">
        <f>WEEKNUM(orders[[#This Row],[Order Date]])</f>
        <v>10</v>
      </c>
      <c r="O1637" t="str" cm="1">
        <f t="array" ref="O1637">_xlfn.IFS(orders[[#This Row],[Customer Gender]] = "M", "Male",orders[[#This Row],[Customer Gender]] = "F", "Female",orders[[#This Row],[Customer Gender]] = "O", "Others",TRUE,"Unknown")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 - orders[[#This Row],[Order Date]]</f>
        <v>3</v>
      </c>
      <c r="N1638">
        <f>WEEKNUM(orders[[#This Row],[Order Date]])</f>
        <v>10</v>
      </c>
      <c r="O1638" t="str" cm="1">
        <f t="array" ref="O1638">_xlfn.IFS(orders[[#This Row],[Customer Gender]] = "M", "Male",orders[[#This Row],[Customer Gender]] = "F", "Female",orders[[#This Row],[Customer Gender]] = "O", "Others",TRUE,"Unknown")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 - orders[[#This Row],[Order Date]]</f>
        <v>2</v>
      </c>
      <c r="N1639">
        <f>WEEKNUM(orders[[#This Row],[Order Date]])</f>
        <v>10</v>
      </c>
      <c r="O1639" t="str" cm="1">
        <f t="array" ref="O1639">_xlfn.IFS(orders[[#This Row],[Customer Gender]] = "M", "Male",orders[[#This Row],[Customer Gender]] = "F", "Female",orders[[#This Row],[Customer Gender]] = "O", "Others",TRUE,"Unknown")</f>
        <v>Others</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 - orders[[#This Row],[Order Date]]</f>
        <v>3</v>
      </c>
      <c r="N1640">
        <f>WEEKNUM(orders[[#This Row],[Order Date]])</f>
        <v>10</v>
      </c>
      <c r="O1640" t="str" cm="1">
        <f t="array" ref="O1640">_xlfn.IFS(orders[[#This Row],[Customer Gender]] = "M", "Male",orders[[#This Row],[Customer Gender]] = "F", "Female",orders[[#This Row],[Customer Gender]] = "O", "Others",TRUE,"Unknown")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 - orders[[#This Row],[Order Date]]</f>
        <v>0</v>
      </c>
      <c r="N1641">
        <f>WEEKNUM(orders[[#This Row],[Order Date]])</f>
        <v>10</v>
      </c>
      <c r="O1641" t="str" cm="1">
        <f t="array" ref="O1641">_xlfn.IFS(orders[[#This Row],[Customer Gender]] = "M", "Male",orders[[#This Row],[Customer Gender]] = "F", "Female",orders[[#This Row],[Customer Gender]] = "O", "Others",TRUE,"Unknown")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 - orders[[#This Row],[Order Date]]</f>
        <v>1</v>
      </c>
      <c r="N1642">
        <f>WEEKNUM(orders[[#This Row],[Order Date]])</f>
        <v>10</v>
      </c>
      <c r="O1642" t="str" cm="1">
        <f t="array" ref="O1642">_xlfn.IFS(orders[[#This Row],[Customer Gender]] = "M", "Male",orders[[#This Row],[Customer Gender]] = "F", "Female",orders[[#This Row],[Customer Gender]] = "O", "Others",TRUE,"Unknown")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 - orders[[#This Row],[Order Date]]</f>
        <v>2</v>
      </c>
      <c r="N1643">
        <f>WEEKNUM(orders[[#This Row],[Order Date]])</f>
        <v>10</v>
      </c>
      <c r="O1643" t="str" cm="1">
        <f t="array" ref="O1643">_xlfn.IFS(orders[[#This Row],[Customer Gender]] = "M", "Male",orders[[#This Row],[Customer Gender]] = "F", "Female",orders[[#This Row],[Customer Gender]] = "O", "Others",TRUE,"Unknown")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 - orders[[#This Row],[Order Date]]</f>
        <v>2</v>
      </c>
      <c r="N1644">
        <f>WEEKNUM(orders[[#This Row],[Order Date]])</f>
        <v>10</v>
      </c>
      <c r="O1644" t="str" cm="1">
        <f t="array" ref="O1644">_xlfn.IFS(orders[[#This Row],[Customer Gender]] = "M", "Male",orders[[#This Row],[Customer Gender]] = "F", "Female",orders[[#This Row],[Customer Gender]] = "O", "Others",TRUE,"Unknown")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 - orders[[#This Row],[Order Date]]</f>
        <v>3</v>
      </c>
      <c r="N1645">
        <f>WEEKNUM(orders[[#This Row],[Order Date]])</f>
        <v>10</v>
      </c>
      <c r="O1645" t="str" cm="1">
        <f t="array" ref="O1645">_xlfn.IFS(orders[[#This Row],[Customer Gender]] = "M", "Male",orders[[#This Row],[Customer Gender]] = "F", "Female",orders[[#This Row],[Customer Gender]] = "O", "Others",TRUE,"Unknown")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 - orders[[#This Row],[Order Date]]</f>
        <v>2</v>
      </c>
      <c r="N1646">
        <f>WEEKNUM(orders[[#This Row],[Order Date]])</f>
        <v>10</v>
      </c>
      <c r="O1646" t="str" cm="1">
        <f t="array" ref="O1646">_xlfn.IFS(orders[[#This Row],[Customer Gender]] = "M", "Male",orders[[#This Row],[Customer Gender]] = "F", "Female",orders[[#This Row],[Customer Gender]] = "O", "Others",TRUE,"Unknown")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 - orders[[#This Row],[Order Date]]</f>
        <v>3</v>
      </c>
      <c r="N1647">
        <f>WEEKNUM(orders[[#This Row],[Order Date]])</f>
        <v>10</v>
      </c>
      <c r="O1647" t="str" cm="1">
        <f t="array" ref="O1647">_xlfn.IFS(orders[[#This Row],[Customer Gender]] = "M", "Male",orders[[#This Row],[Customer Gender]] = "F", "Female",orders[[#This Row],[Customer Gender]] = "O", "Others",TRUE,"Unknown")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 - orders[[#This Row],[Order Date]]</f>
        <v>1</v>
      </c>
      <c r="N1648">
        <f>WEEKNUM(orders[[#This Row],[Order Date]])</f>
        <v>10</v>
      </c>
      <c r="O1648" t="str" cm="1">
        <f t="array" ref="O1648">_xlfn.IFS(orders[[#This Row],[Customer Gender]] = "M", "Male",orders[[#This Row],[Customer Gender]] = "F", "Female",orders[[#This Row],[Customer Gender]] = "O", "Others",TRUE,"Unknown")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 - orders[[#This Row],[Order Date]]</f>
        <v>2</v>
      </c>
      <c r="N1649">
        <f>WEEKNUM(orders[[#This Row],[Order Date]])</f>
        <v>10</v>
      </c>
      <c r="O1649" t="str" cm="1">
        <f t="array" ref="O1649">_xlfn.IFS(orders[[#This Row],[Customer Gender]] = "M", "Male",orders[[#This Row],[Customer Gender]] = "F", "Female",orders[[#This Row],[Customer Gender]] = "O", "Others",TRUE,"Unknown")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 - orders[[#This Row],[Order Date]]</f>
        <v>1</v>
      </c>
      <c r="N1650">
        <f>WEEKNUM(orders[[#This Row],[Order Date]])</f>
        <v>10</v>
      </c>
      <c r="O1650" t="str" cm="1">
        <f t="array" ref="O1650">_xlfn.IFS(orders[[#This Row],[Customer Gender]] = "M", "Male",orders[[#This Row],[Customer Gender]] = "F", "Female",orders[[#This Row],[Customer Gender]] = "O", "Others",TRUE,"Unknown")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 - orders[[#This Row],[Order Date]]</f>
        <v>3</v>
      </c>
      <c r="N1651">
        <f>WEEKNUM(orders[[#This Row],[Order Date]])</f>
        <v>10</v>
      </c>
      <c r="O1651" t="str" cm="1">
        <f t="array" ref="O1651">_xlfn.IFS(orders[[#This Row],[Customer Gender]] = "M", "Male",orders[[#This Row],[Customer Gender]] = "F", "Female",orders[[#This Row],[Customer Gender]] = "O", "Others",TRUE,"Unknown")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 - orders[[#This Row],[Order Date]]</f>
        <v>2</v>
      </c>
      <c r="N1652">
        <f>WEEKNUM(orders[[#This Row],[Order Date]])</f>
        <v>10</v>
      </c>
      <c r="O1652" t="str" cm="1">
        <f t="array" ref="O1652">_xlfn.IFS(orders[[#This Row],[Customer Gender]] = "M", "Male",orders[[#This Row],[Customer Gender]] = "F", "Female",orders[[#This Row],[Customer Gender]] = "O", "Others",TRUE,"Unknown")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 - orders[[#This Row],[Order Date]]</f>
        <v>1</v>
      </c>
      <c r="N1653">
        <f>WEEKNUM(orders[[#This Row],[Order Date]])</f>
        <v>10</v>
      </c>
      <c r="O1653" t="str" cm="1">
        <f t="array" ref="O1653">_xlfn.IFS(orders[[#This Row],[Customer Gender]] = "M", "Male",orders[[#This Row],[Customer Gender]] = "F", "Female",orders[[#This Row],[Customer Gender]] = "O", "Others",TRUE,"Unknown")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 - orders[[#This Row],[Order Date]]</f>
        <v>3</v>
      </c>
      <c r="N1654">
        <f>WEEKNUM(orders[[#This Row],[Order Date]])</f>
        <v>10</v>
      </c>
      <c r="O1654" t="str" cm="1">
        <f t="array" ref="O1654">_xlfn.IFS(orders[[#This Row],[Customer Gender]] = "M", "Male",orders[[#This Row],[Customer Gender]] = "F", "Female",orders[[#This Row],[Customer Gender]] = "O", "Others",TRUE,"Unknown")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 - orders[[#This Row],[Order Date]]</f>
        <v>3</v>
      </c>
      <c r="N1655">
        <f>WEEKNUM(orders[[#This Row],[Order Date]])</f>
        <v>10</v>
      </c>
      <c r="O1655" t="str" cm="1">
        <f t="array" ref="O1655">_xlfn.IFS(orders[[#This Row],[Customer Gender]] = "M", "Male",orders[[#This Row],[Customer Gender]] = "F", "Female",orders[[#This Row],[Customer Gender]] = "O", "Others",TRUE,"Unknown")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 - orders[[#This Row],[Order Date]]</f>
        <v>3</v>
      </c>
      <c r="N1656">
        <f>WEEKNUM(orders[[#This Row],[Order Date]])</f>
        <v>10</v>
      </c>
      <c r="O1656" t="str" cm="1">
        <f t="array" ref="O1656">_xlfn.IFS(orders[[#This Row],[Customer Gender]] = "M", "Male",orders[[#This Row],[Customer Gender]] = "F", "Female",orders[[#This Row],[Customer Gender]] = "O", "Others",TRUE,"Unknown")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 - orders[[#This Row],[Order Date]]</f>
        <v>3</v>
      </c>
      <c r="N1657">
        <f>WEEKNUM(orders[[#This Row],[Order Date]])</f>
        <v>10</v>
      </c>
      <c r="O1657" t="str" cm="1">
        <f t="array" ref="O1657">_xlfn.IFS(orders[[#This Row],[Customer Gender]] = "M", "Male",orders[[#This Row],[Customer Gender]] = "F", "Female",orders[[#This Row],[Customer Gender]] = "O", "Others",TRUE,"Unknown")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 - orders[[#This Row],[Order Date]]</f>
        <v>3</v>
      </c>
      <c r="N1658">
        <f>WEEKNUM(orders[[#This Row],[Order Date]])</f>
        <v>10</v>
      </c>
      <c r="O1658" t="str" cm="1">
        <f t="array" ref="O1658">_xlfn.IFS(orders[[#This Row],[Customer Gender]] = "M", "Male",orders[[#This Row],[Customer Gender]] = "F", "Female",orders[[#This Row],[Customer Gender]] = "O", "Others",TRUE,"Unknown")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 - orders[[#This Row],[Order Date]]</f>
        <v>1</v>
      </c>
      <c r="N1659">
        <f>WEEKNUM(orders[[#This Row],[Order Date]])</f>
        <v>10</v>
      </c>
      <c r="O1659" t="str" cm="1">
        <f t="array" ref="O1659">_xlfn.IFS(orders[[#This Row],[Customer Gender]] = "M", "Male",orders[[#This Row],[Customer Gender]] = "F", "Female",orders[[#This Row],[Customer Gender]] = "O", "Others",TRUE,"Unknown")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 - orders[[#This Row],[Order Date]]</f>
        <v>3</v>
      </c>
      <c r="N1660">
        <f>WEEKNUM(orders[[#This Row],[Order Date]])</f>
        <v>10</v>
      </c>
      <c r="O1660" t="str" cm="1">
        <f t="array" ref="O1660">_xlfn.IFS(orders[[#This Row],[Customer Gender]] = "M", "Male",orders[[#This Row],[Customer Gender]] = "F", "Female",orders[[#This Row],[Customer Gender]] = "O", "Others",TRUE,"Unknown")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 - orders[[#This Row],[Order Date]]</f>
        <v>3</v>
      </c>
      <c r="N1661">
        <f>WEEKNUM(orders[[#This Row],[Order Date]])</f>
        <v>10</v>
      </c>
      <c r="O1661" t="str" cm="1">
        <f t="array" ref="O1661">_xlfn.IFS(orders[[#This Row],[Customer Gender]] = "M", "Male",orders[[#This Row],[Customer Gender]] = "F", "Female",orders[[#This Row],[Customer Gender]] = "O", "Others",TRUE,"Unknown")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 - orders[[#This Row],[Order Date]]</f>
        <v>5</v>
      </c>
      <c r="N1662">
        <f>WEEKNUM(orders[[#This Row],[Order Date]])</f>
        <v>10</v>
      </c>
      <c r="O1662" t="str" cm="1">
        <f t="array" ref="O1662">_xlfn.IFS(orders[[#This Row],[Customer Gender]] = "M", "Male",orders[[#This Row],[Customer Gender]] = "F", "Female",orders[[#This Row],[Customer Gender]] = "O", "Others",TRUE,"Unknown")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 - orders[[#This Row],[Order Date]]</f>
        <v>3</v>
      </c>
      <c r="N1663">
        <f>WEEKNUM(orders[[#This Row],[Order Date]])</f>
        <v>10</v>
      </c>
      <c r="O1663" t="str" cm="1">
        <f t="array" ref="O1663">_xlfn.IFS(orders[[#This Row],[Customer Gender]] = "M", "Male",orders[[#This Row],[Customer Gender]] = "F", "Female",orders[[#This Row],[Customer Gender]] = "O", "Others",TRUE,"Unknown")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 - orders[[#This Row],[Order Date]]</f>
        <v>8</v>
      </c>
      <c r="N1664">
        <f>WEEKNUM(orders[[#This Row],[Order Date]])</f>
        <v>10</v>
      </c>
      <c r="O1664" t="str" cm="1">
        <f t="array" ref="O1664">_xlfn.IFS(orders[[#This Row],[Customer Gender]] = "M", "Male",orders[[#This Row],[Customer Gender]] = "F", "Female",orders[[#This Row],[Customer Gender]] = "O", "Others",TRUE,"Unknown")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 - orders[[#This Row],[Order Date]]</f>
        <v>1</v>
      </c>
      <c r="N1665">
        <f>WEEKNUM(orders[[#This Row],[Order Date]])</f>
        <v>10</v>
      </c>
      <c r="O1665" t="str" cm="1">
        <f t="array" ref="O1665">_xlfn.IFS(orders[[#This Row],[Customer Gender]] = "M", "Male",orders[[#This Row],[Customer Gender]] = "F", "Female",orders[[#This Row],[Customer Gender]] = "O", "Others",TRUE,"Unknown")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 - orders[[#This Row],[Order Date]]</f>
        <v>1</v>
      </c>
      <c r="N1666">
        <f>WEEKNUM(orders[[#This Row],[Order Date]])</f>
        <v>10</v>
      </c>
      <c r="O1666" t="str" cm="1">
        <f t="array" ref="O1666">_xlfn.IFS(orders[[#This Row],[Customer Gender]] = "M", "Male",orders[[#This Row],[Customer Gender]] = "F", "Female",orders[[#This Row],[Customer Gender]] = "O", "Others",TRUE,"Unknown")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 - orders[[#This Row],[Order Date]]</f>
        <v>1</v>
      </c>
      <c r="N1667">
        <f>WEEKNUM(orders[[#This Row],[Order Date]])</f>
        <v>10</v>
      </c>
      <c r="O1667" t="str" cm="1">
        <f t="array" ref="O1667">_xlfn.IFS(orders[[#This Row],[Customer Gender]] = "M", "Male",orders[[#This Row],[Customer Gender]] = "F", "Female",orders[[#This Row],[Customer Gender]] = "O", "Others",TRUE,"Unknown")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 - orders[[#This Row],[Order Date]]</f>
        <v>1</v>
      </c>
      <c r="N1668">
        <f>WEEKNUM(orders[[#This Row],[Order Date]])</f>
        <v>10</v>
      </c>
      <c r="O1668" t="str" cm="1">
        <f t="array" ref="O1668">_xlfn.IFS(orders[[#This Row],[Customer Gender]] = "M", "Male",orders[[#This Row],[Customer Gender]] = "F", "Female",orders[[#This Row],[Customer Gender]] = "O", "Others",TRUE,"Unknown")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 - orders[[#This Row],[Order Date]]</f>
        <v>3</v>
      </c>
      <c r="N1669">
        <f>WEEKNUM(orders[[#This Row],[Order Date]])</f>
        <v>10</v>
      </c>
      <c r="O1669" t="str" cm="1">
        <f t="array" ref="O1669">_xlfn.IFS(orders[[#This Row],[Customer Gender]] = "M", "Male",orders[[#This Row],[Customer Gender]] = "F", "Female",orders[[#This Row],[Customer Gender]] = "O", "Others",TRUE,"Unknown")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 - orders[[#This Row],[Order Date]]</f>
        <v>3</v>
      </c>
      <c r="N1670">
        <f>WEEKNUM(orders[[#This Row],[Order Date]])</f>
        <v>10</v>
      </c>
      <c r="O1670" t="str" cm="1">
        <f t="array" ref="O1670">_xlfn.IFS(orders[[#This Row],[Customer Gender]] = "M", "Male",orders[[#This Row],[Customer Gender]] = "F", "Female",orders[[#This Row],[Customer Gender]] = "O", "Others",TRUE,"Unknown")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 - orders[[#This Row],[Order Date]]</f>
        <v>4</v>
      </c>
      <c r="N1671">
        <f>WEEKNUM(orders[[#This Row],[Order Date]])</f>
        <v>10</v>
      </c>
      <c r="O1671" t="str" cm="1">
        <f t="array" ref="O1671">_xlfn.IFS(orders[[#This Row],[Customer Gender]] = "M", "Male",orders[[#This Row],[Customer Gender]] = "F", "Female",orders[[#This Row],[Customer Gender]] = "O", "Others",TRUE,"Unknown")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 - orders[[#This Row],[Order Date]]</f>
        <v>1</v>
      </c>
      <c r="N1672">
        <f>WEEKNUM(orders[[#This Row],[Order Date]])</f>
        <v>10</v>
      </c>
      <c r="O1672" t="str" cm="1">
        <f t="array" ref="O1672">_xlfn.IFS(orders[[#This Row],[Customer Gender]] = "M", "Male",orders[[#This Row],[Customer Gender]] = "F", "Female",orders[[#This Row],[Customer Gender]] = "O", "Others",TRUE,"Unknown")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 - orders[[#This Row],[Order Date]]</f>
        <v>2</v>
      </c>
      <c r="N1673">
        <f>WEEKNUM(orders[[#This Row],[Order Date]])</f>
        <v>10</v>
      </c>
      <c r="O1673" t="str" cm="1">
        <f t="array" ref="O1673">_xlfn.IFS(orders[[#This Row],[Customer Gender]] = "M", "Male",orders[[#This Row],[Customer Gender]] = "F", "Female",orders[[#This Row],[Customer Gender]] = "O", "Others",TRUE,"Unknown")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 - orders[[#This Row],[Order Date]]</f>
        <v>0</v>
      </c>
      <c r="N1674">
        <f>WEEKNUM(orders[[#This Row],[Order Date]])</f>
        <v>10</v>
      </c>
      <c r="O1674" t="str" cm="1">
        <f t="array" ref="O1674">_xlfn.IFS(orders[[#This Row],[Customer Gender]] = "M", "Male",orders[[#This Row],[Customer Gender]] = "F", "Female",orders[[#This Row],[Customer Gender]] = "O", "Others",TRUE,"Unknown")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 - orders[[#This Row],[Order Date]]</f>
        <v>1</v>
      </c>
      <c r="N1675">
        <f>WEEKNUM(orders[[#This Row],[Order Date]])</f>
        <v>10</v>
      </c>
      <c r="O1675" t="str" cm="1">
        <f t="array" ref="O1675">_xlfn.IFS(orders[[#This Row],[Customer Gender]] = "M", "Male",orders[[#This Row],[Customer Gender]] = "F", "Female",orders[[#This Row],[Customer Gender]] = "O", "Others",TRUE,"Unknown")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 - orders[[#This Row],[Order Date]]</f>
        <v>3</v>
      </c>
      <c r="N1676">
        <f>WEEKNUM(orders[[#This Row],[Order Date]])</f>
        <v>10</v>
      </c>
      <c r="O1676" t="str" cm="1">
        <f t="array" ref="O1676">_xlfn.IFS(orders[[#This Row],[Customer Gender]] = "M", "Male",orders[[#This Row],[Customer Gender]] = "F", "Female",orders[[#This Row],[Customer Gender]] = "O", "Others",TRUE,"Unknown")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 - orders[[#This Row],[Order Date]]</f>
        <v>1</v>
      </c>
      <c r="N1677">
        <f>WEEKNUM(orders[[#This Row],[Order Date]])</f>
        <v>10</v>
      </c>
      <c r="O1677" t="str" cm="1">
        <f t="array" ref="O1677">_xlfn.IFS(orders[[#This Row],[Customer Gender]] = "M", "Male",orders[[#This Row],[Customer Gender]] = "F", "Female",orders[[#This Row],[Customer Gender]] = "O", "Others",TRUE,"Unknown")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 - orders[[#This Row],[Order Date]]</f>
        <v>11</v>
      </c>
      <c r="N1678">
        <f>WEEKNUM(orders[[#This Row],[Order Date]])</f>
        <v>10</v>
      </c>
      <c r="O1678" t="str" cm="1">
        <f t="array" ref="O1678">_xlfn.IFS(orders[[#This Row],[Customer Gender]] = "M", "Male",orders[[#This Row],[Customer Gender]] = "F", "Female",orders[[#This Row],[Customer Gender]] = "O", "Others",TRUE,"Unknown")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 - orders[[#This Row],[Order Date]]</f>
        <v>3</v>
      </c>
      <c r="N1679">
        <f>WEEKNUM(orders[[#This Row],[Order Date]])</f>
        <v>10</v>
      </c>
      <c r="O1679" t="str" cm="1">
        <f t="array" ref="O1679">_xlfn.IFS(orders[[#This Row],[Customer Gender]] = "M", "Male",orders[[#This Row],[Customer Gender]] = "F", "Female",orders[[#This Row],[Customer Gender]] = "O", "Others",TRUE,"Unknown")</f>
        <v>Others</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 - orders[[#This Row],[Order Date]]</f>
        <v>1</v>
      </c>
      <c r="N1680">
        <f>WEEKNUM(orders[[#This Row],[Order Date]])</f>
        <v>10</v>
      </c>
      <c r="O1680" t="str" cm="1">
        <f t="array" ref="O1680">_xlfn.IFS(orders[[#This Row],[Customer Gender]] = "M", "Male",orders[[#This Row],[Customer Gender]] = "F", "Female",orders[[#This Row],[Customer Gender]] = "O", "Others",TRUE,"Unknown")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 - orders[[#This Row],[Order Date]]</f>
        <v>2</v>
      </c>
      <c r="N1681">
        <f>WEEKNUM(orders[[#This Row],[Order Date]])</f>
        <v>10</v>
      </c>
      <c r="O1681" t="str" cm="1">
        <f t="array" ref="O1681">_xlfn.IFS(orders[[#This Row],[Customer Gender]] = "M", "Male",orders[[#This Row],[Customer Gender]] = "F", "Female",orders[[#This Row],[Customer Gender]] = "O", "Others",TRUE,"Unknown")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 - orders[[#This Row],[Order Date]]</f>
        <v>1</v>
      </c>
      <c r="N1682">
        <f>WEEKNUM(orders[[#This Row],[Order Date]])</f>
        <v>10</v>
      </c>
      <c r="O1682" t="str" cm="1">
        <f t="array" ref="O1682">_xlfn.IFS(orders[[#This Row],[Customer Gender]] = "M", "Male",orders[[#This Row],[Customer Gender]] = "F", "Female",orders[[#This Row],[Customer Gender]] = "O", "Others",TRUE,"Unknown")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 - orders[[#This Row],[Order Date]]</f>
        <v>2</v>
      </c>
      <c r="N1683">
        <f>WEEKNUM(orders[[#This Row],[Order Date]])</f>
        <v>10</v>
      </c>
      <c r="O1683" t="str" cm="1">
        <f t="array" ref="O1683">_xlfn.IFS(orders[[#This Row],[Customer Gender]] = "M", "Male",orders[[#This Row],[Customer Gender]] = "F", "Female",orders[[#This Row],[Customer Gender]] = "O", "Others",TRUE,"Unknown")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 - orders[[#This Row],[Order Date]]</f>
        <v>1</v>
      </c>
      <c r="N1684">
        <f>WEEKNUM(orders[[#This Row],[Order Date]])</f>
        <v>10</v>
      </c>
      <c r="O1684" t="str" cm="1">
        <f t="array" ref="O1684">_xlfn.IFS(orders[[#This Row],[Customer Gender]] = "M", "Male",orders[[#This Row],[Customer Gender]] = "F", "Female",orders[[#This Row],[Customer Gender]] = "O", "Others",TRUE,"Unknown")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 - orders[[#This Row],[Order Date]]</f>
        <v>14</v>
      </c>
      <c r="N1685">
        <f>WEEKNUM(orders[[#This Row],[Order Date]])</f>
        <v>10</v>
      </c>
      <c r="O1685" t="str" cm="1">
        <f t="array" ref="O1685">_xlfn.IFS(orders[[#This Row],[Customer Gender]] = "M", "Male",orders[[#This Row],[Customer Gender]] = "F", "Female",orders[[#This Row],[Customer Gender]] = "O", "Others",TRUE,"Unknown")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 - orders[[#This Row],[Order Date]]</f>
        <v>1</v>
      </c>
      <c r="N1686">
        <f>WEEKNUM(orders[[#This Row],[Order Date]])</f>
        <v>10</v>
      </c>
      <c r="O1686" t="str" cm="1">
        <f t="array" ref="O1686">_xlfn.IFS(orders[[#This Row],[Customer Gender]] = "M", "Male",orders[[#This Row],[Customer Gender]] = "F", "Female",orders[[#This Row],[Customer Gender]] = "O", "Others",TRUE,"Unknown")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 - orders[[#This Row],[Order Date]]</f>
        <v>1</v>
      </c>
      <c r="N1687">
        <f>WEEKNUM(orders[[#This Row],[Order Date]])</f>
        <v>10</v>
      </c>
      <c r="O1687" t="str" cm="1">
        <f t="array" ref="O1687">_xlfn.IFS(orders[[#This Row],[Customer Gender]] = "M", "Male",orders[[#This Row],[Customer Gender]] = "F", "Female",orders[[#This Row],[Customer Gender]] = "O", "Others",TRUE,"Unknown")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 - orders[[#This Row],[Order Date]]</f>
        <v>1</v>
      </c>
      <c r="N1688">
        <f>WEEKNUM(orders[[#This Row],[Order Date]])</f>
        <v>10</v>
      </c>
      <c r="O1688" t="str" cm="1">
        <f t="array" ref="O1688">_xlfn.IFS(orders[[#This Row],[Customer Gender]] = "M", "Male",orders[[#This Row],[Customer Gender]] = "F", "Female",orders[[#This Row],[Customer Gender]] = "O", "Others",TRUE,"Unknown")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 - orders[[#This Row],[Order Date]]</f>
        <v>2</v>
      </c>
      <c r="N1689">
        <f>WEEKNUM(orders[[#This Row],[Order Date]])</f>
        <v>10</v>
      </c>
      <c r="O1689" t="str" cm="1">
        <f t="array" ref="O1689">_xlfn.IFS(orders[[#This Row],[Customer Gender]] = "M", "Male",orders[[#This Row],[Customer Gender]] = "F", "Female",orders[[#This Row],[Customer Gender]] = "O", "Others",TRUE,"Unknown")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 - orders[[#This Row],[Order Date]]</f>
        <v>1</v>
      </c>
      <c r="N1690">
        <f>WEEKNUM(orders[[#This Row],[Order Date]])</f>
        <v>10</v>
      </c>
      <c r="O1690" t="str" cm="1">
        <f t="array" ref="O1690">_xlfn.IFS(orders[[#This Row],[Customer Gender]] = "M", "Male",orders[[#This Row],[Customer Gender]] = "F", "Female",orders[[#This Row],[Customer Gender]] = "O", "Others",TRUE,"Unknown")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 - orders[[#This Row],[Order Date]]</f>
        <v>1</v>
      </c>
      <c r="N1691">
        <f>WEEKNUM(orders[[#This Row],[Order Date]])</f>
        <v>10</v>
      </c>
      <c r="O1691" t="str" cm="1">
        <f t="array" ref="O1691">_xlfn.IFS(orders[[#This Row],[Customer Gender]] = "M", "Male",orders[[#This Row],[Customer Gender]] = "F", "Female",orders[[#This Row],[Customer Gender]] = "O", "Others",TRUE,"Unknown")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 - orders[[#This Row],[Order Date]]</f>
        <v>3</v>
      </c>
      <c r="N1692">
        <f>WEEKNUM(orders[[#This Row],[Order Date]])</f>
        <v>10</v>
      </c>
      <c r="O1692" t="str" cm="1">
        <f t="array" ref="O1692">_xlfn.IFS(orders[[#This Row],[Customer Gender]] = "M", "Male",orders[[#This Row],[Customer Gender]] = "F", "Female",orders[[#This Row],[Customer Gender]] = "O", "Others",TRUE,"Unknown")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 - orders[[#This Row],[Order Date]]</f>
        <v>4</v>
      </c>
      <c r="N1693">
        <f>WEEKNUM(orders[[#This Row],[Order Date]])</f>
        <v>10</v>
      </c>
      <c r="O1693" t="str" cm="1">
        <f t="array" ref="O1693">_xlfn.IFS(orders[[#This Row],[Customer Gender]] = "M", "Male",orders[[#This Row],[Customer Gender]] = "F", "Female",orders[[#This Row],[Customer Gender]] = "O", "Others",TRUE,"Unknown")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 - orders[[#This Row],[Order Date]]</f>
        <v>2</v>
      </c>
      <c r="N1694">
        <f>WEEKNUM(orders[[#This Row],[Order Date]])</f>
        <v>10</v>
      </c>
      <c r="O1694" t="str" cm="1">
        <f t="array" ref="O1694">_xlfn.IFS(orders[[#This Row],[Customer Gender]] = "M", "Male",orders[[#This Row],[Customer Gender]] = "F", "Female",orders[[#This Row],[Customer Gender]] = "O", "Others",TRUE,"Unknown")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 - orders[[#This Row],[Order Date]]</f>
        <v>1</v>
      </c>
      <c r="N1695">
        <f>WEEKNUM(orders[[#This Row],[Order Date]])</f>
        <v>10</v>
      </c>
      <c r="O1695" t="str" cm="1">
        <f t="array" ref="O1695">_xlfn.IFS(orders[[#This Row],[Customer Gender]] = "M", "Male",orders[[#This Row],[Customer Gender]] = "F", "Female",orders[[#This Row],[Customer Gender]] = "O", "Others",TRUE,"Unknown")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 - orders[[#This Row],[Order Date]]</f>
        <v>3</v>
      </c>
      <c r="N1696">
        <f>WEEKNUM(orders[[#This Row],[Order Date]])</f>
        <v>10</v>
      </c>
      <c r="O1696" t="str" cm="1">
        <f t="array" ref="O1696">_xlfn.IFS(orders[[#This Row],[Customer Gender]] = "M", "Male",orders[[#This Row],[Customer Gender]] = "F", "Female",orders[[#This Row],[Customer Gender]] = "O", "Others",TRUE,"Unknown")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 - orders[[#This Row],[Order Date]]</f>
        <v>0</v>
      </c>
      <c r="N1697">
        <f>WEEKNUM(orders[[#This Row],[Order Date]])</f>
        <v>10</v>
      </c>
      <c r="O1697" t="str" cm="1">
        <f t="array" ref="O1697">_xlfn.IFS(orders[[#This Row],[Customer Gender]] = "M", "Male",orders[[#This Row],[Customer Gender]] = "F", "Female",orders[[#This Row],[Customer Gender]] = "O", "Others",TRUE,"Unknown")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 - orders[[#This Row],[Order Date]]</f>
        <v>2</v>
      </c>
      <c r="N1698">
        <f>WEEKNUM(orders[[#This Row],[Order Date]])</f>
        <v>10</v>
      </c>
      <c r="O1698" t="str" cm="1">
        <f t="array" ref="O1698">_xlfn.IFS(orders[[#This Row],[Customer Gender]] = "M", "Male",orders[[#This Row],[Customer Gender]] = "F", "Female",orders[[#This Row],[Customer Gender]] = "O", "Others",TRUE,"Unknown")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 - orders[[#This Row],[Order Date]]</f>
        <v>2</v>
      </c>
      <c r="N1699">
        <f>WEEKNUM(orders[[#This Row],[Order Date]])</f>
        <v>10</v>
      </c>
      <c r="O1699" t="str" cm="1">
        <f t="array" ref="O1699">_xlfn.IFS(orders[[#This Row],[Customer Gender]] = "M", "Male",orders[[#This Row],[Customer Gender]] = "F", "Female",orders[[#This Row],[Customer Gender]] = "O", "Others",TRUE,"Unknown")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 - orders[[#This Row],[Order Date]]</f>
        <v>6</v>
      </c>
      <c r="N1700">
        <f>WEEKNUM(orders[[#This Row],[Order Date]])</f>
        <v>10</v>
      </c>
      <c r="O1700" t="str" cm="1">
        <f t="array" ref="O1700">_xlfn.IFS(orders[[#This Row],[Customer Gender]] = "M", "Male",orders[[#This Row],[Customer Gender]] = "F", "Female",orders[[#This Row],[Customer Gender]] = "O", "Others",TRUE,"Unknown")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 - orders[[#This Row],[Order Date]]</f>
        <v>2</v>
      </c>
      <c r="N1701">
        <f>WEEKNUM(orders[[#This Row],[Order Date]])</f>
        <v>10</v>
      </c>
      <c r="O1701" t="str" cm="1">
        <f t="array" ref="O1701">_xlfn.IFS(orders[[#This Row],[Customer Gender]] = "M", "Male",orders[[#This Row],[Customer Gender]] = "F", "Female",orders[[#This Row],[Customer Gender]] = "O", "Others",TRUE,"Unknown")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 - orders[[#This Row],[Order Date]]</f>
        <v>1</v>
      </c>
      <c r="N1702">
        <f>WEEKNUM(orders[[#This Row],[Order Date]])</f>
        <v>10</v>
      </c>
      <c r="O1702" t="str" cm="1">
        <f t="array" ref="O1702">_xlfn.IFS(orders[[#This Row],[Customer Gender]] = "M", "Male",orders[[#This Row],[Customer Gender]] = "F", "Female",orders[[#This Row],[Customer Gender]] = "O", "Others",TRUE,"Unknown")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 - orders[[#This Row],[Order Date]]</f>
        <v>4</v>
      </c>
      <c r="N1703">
        <f>WEEKNUM(orders[[#This Row],[Order Date]])</f>
        <v>10</v>
      </c>
      <c r="O1703" t="str" cm="1">
        <f t="array" ref="O1703">_xlfn.IFS(orders[[#This Row],[Customer Gender]] = "M", "Male",orders[[#This Row],[Customer Gender]] = "F", "Female",orders[[#This Row],[Customer Gender]] = "O", "Others",TRUE,"Unknown")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 - orders[[#This Row],[Order Date]]</f>
        <v>1</v>
      </c>
      <c r="N1704">
        <f>WEEKNUM(orders[[#This Row],[Order Date]])</f>
        <v>10</v>
      </c>
      <c r="O1704" t="str" cm="1">
        <f t="array" ref="O1704">_xlfn.IFS(orders[[#This Row],[Customer Gender]] = "M", "Male",orders[[#This Row],[Customer Gender]] = "F", "Female",orders[[#This Row],[Customer Gender]] = "O", "Others",TRUE,"Unknown")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 - orders[[#This Row],[Order Date]]</f>
        <v>1</v>
      </c>
      <c r="N1705">
        <f>WEEKNUM(orders[[#This Row],[Order Date]])</f>
        <v>10</v>
      </c>
      <c r="O1705" t="str" cm="1">
        <f t="array" ref="O1705">_xlfn.IFS(orders[[#This Row],[Customer Gender]] = "M", "Male",orders[[#This Row],[Customer Gender]] = "F", "Female",orders[[#This Row],[Customer Gender]] = "O", "Others",TRUE,"Unknown")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 - orders[[#This Row],[Order Date]]</f>
        <v>1</v>
      </c>
      <c r="N1706">
        <f>WEEKNUM(orders[[#This Row],[Order Date]])</f>
        <v>10</v>
      </c>
      <c r="O1706" t="str" cm="1">
        <f t="array" ref="O1706">_xlfn.IFS(orders[[#This Row],[Customer Gender]] = "M", "Male",orders[[#This Row],[Customer Gender]] = "F", "Female",orders[[#This Row],[Customer Gender]] = "O", "Others",TRUE,"Unknown")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 - orders[[#This Row],[Order Date]]</f>
        <v>3</v>
      </c>
      <c r="N1707">
        <f>WEEKNUM(orders[[#This Row],[Order Date]])</f>
        <v>10</v>
      </c>
      <c r="O1707" t="str" cm="1">
        <f t="array" ref="O1707">_xlfn.IFS(orders[[#This Row],[Customer Gender]] = "M", "Male",orders[[#This Row],[Customer Gender]] = "F", "Female",orders[[#This Row],[Customer Gender]] = "O", "Others",TRUE,"Unknown")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 - orders[[#This Row],[Order Date]]</f>
        <v>1</v>
      </c>
      <c r="N1708">
        <f>WEEKNUM(orders[[#This Row],[Order Date]])</f>
        <v>10</v>
      </c>
      <c r="O1708" t="str" cm="1">
        <f t="array" ref="O1708">_xlfn.IFS(orders[[#This Row],[Customer Gender]] = "M", "Male",orders[[#This Row],[Customer Gender]] = "F", "Female",orders[[#This Row],[Customer Gender]] = "O", "Others",TRUE,"Unknown")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 - orders[[#This Row],[Order Date]]</f>
        <v>1</v>
      </c>
      <c r="N1709">
        <f>WEEKNUM(orders[[#This Row],[Order Date]])</f>
        <v>10</v>
      </c>
      <c r="O1709" t="str" cm="1">
        <f t="array" ref="O1709">_xlfn.IFS(orders[[#This Row],[Customer Gender]] = "M", "Male",orders[[#This Row],[Customer Gender]] = "F", "Female",orders[[#This Row],[Customer Gender]] = "O", "Others",TRUE,"Unknown")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 - orders[[#This Row],[Order Date]]</f>
        <v>4</v>
      </c>
      <c r="N1710">
        <f>WEEKNUM(orders[[#This Row],[Order Date]])</f>
        <v>10</v>
      </c>
      <c r="O1710" t="str" cm="1">
        <f t="array" ref="O1710">_xlfn.IFS(orders[[#This Row],[Customer Gender]] = "M", "Male",orders[[#This Row],[Customer Gender]] = "F", "Female",orders[[#This Row],[Customer Gender]] = "O", "Others",TRUE,"Unknown")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 - orders[[#This Row],[Order Date]]</f>
        <v>2</v>
      </c>
      <c r="N1711">
        <f>WEEKNUM(orders[[#This Row],[Order Date]])</f>
        <v>10</v>
      </c>
      <c r="O1711" t="str" cm="1">
        <f t="array" ref="O1711">_xlfn.IFS(orders[[#This Row],[Customer Gender]] = "M", "Male",orders[[#This Row],[Customer Gender]] = "F", "Female",orders[[#This Row],[Customer Gender]] = "O", "Others",TRUE,"Unknown")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 - orders[[#This Row],[Order Date]]</f>
        <v>1</v>
      </c>
      <c r="N1712">
        <f>WEEKNUM(orders[[#This Row],[Order Date]])</f>
        <v>10</v>
      </c>
      <c r="O1712" t="str" cm="1">
        <f t="array" ref="O1712">_xlfn.IFS(orders[[#This Row],[Customer Gender]] = "M", "Male",orders[[#This Row],[Customer Gender]] = "F", "Female",orders[[#This Row],[Customer Gender]] = "O", "Others",TRUE,"Unknown")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 - orders[[#This Row],[Order Date]]</f>
        <v>1</v>
      </c>
      <c r="N1713">
        <f>WEEKNUM(orders[[#This Row],[Order Date]])</f>
        <v>10</v>
      </c>
      <c r="O1713" t="str" cm="1">
        <f t="array" ref="O1713">_xlfn.IFS(orders[[#This Row],[Customer Gender]] = "M", "Male",orders[[#This Row],[Customer Gender]] = "F", "Female",orders[[#This Row],[Customer Gender]] = "O", "Others",TRUE,"Unknown")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 - orders[[#This Row],[Order Date]]</f>
        <v>1</v>
      </c>
      <c r="N1714">
        <f>WEEKNUM(orders[[#This Row],[Order Date]])</f>
        <v>10</v>
      </c>
      <c r="O1714" t="str" cm="1">
        <f t="array" ref="O1714">_xlfn.IFS(orders[[#This Row],[Customer Gender]] = "M", "Male",orders[[#This Row],[Customer Gender]] = "F", "Female",orders[[#This Row],[Customer Gender]] = "O", "Others",TRUE,"Unknown")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 - orders[[#This Row],[Order Date]]</f>
        <v>1</v>
      </c>
      <c r="N1715">
        <f>WEEKNUM(orders[[#This Row],[Order Date]])</f>
        <v>10</v>
      </c>
      <c r="O1715" t="str" cm="1">
        <f t="array" ref="O1715">_xlfn.IFS(orders[[#This Row],[Customer Gender]] = "M", "Male",orders[[#This Row],[Customer Gender]] = "F", "Female",orders[[#This Row],[Customer Gender]] = "O", "Others",TRUE,"Unknown")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 - orders[[#This Row],[Order Date]]</f>
        <v>7</v>
      </c>
      <c r="N1716">
        <f>WEEKNUM(orders[[#This Row],[Order Date]])</f>
        <v>10</v>
      </c>
      <c r="O1716" t="str" cm="1">
        <f t="array" ref="O1716">_xlfn.IFS(orders[[#This Row],[Customer Gender]] = "M", "Male",orders[[#This Row],[Customer Gender]] = "F", "Female",orders[[#This Row],[Customer Gender]] = "O", "Others",TRUE,"Unknown")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 - orders[[#This Row],[Order Date]]</f>
        <v>3</v>
      </c>
      <c r="N1717">
        <f>WEEKNUM(orders[[#This Row],[Order Date]])</f>
        <v>10</v>
      </c>
      <c r="O1717" t="str" cm="1">
        <f t="array" ref="O1717">_xlfn.IFS(orders[[#This Row],[Customer Gender]] = "M", "Male",orders[[#This Row],[Customer Gender]] = "F", "Female",orders[[#This Row],[Customer Gender]] = "O", "Others",TRUE,"Unknown")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 - orders[[#This Row],[Order Date]]</f>
        <v>1</v>
      </c>
      <c r="N1718">
        <f>WEEKNUM(orders[[#This Row],[Order Date]])</f>
        <v>10</v>
      </c>
      <c r="O1718" t="str" cm="1">
        <f t="array" ref="O1718">_xlfn.IFS(orders[[#This Row],[Customer Gender]] = "M", "Male",orders[[#This Row],[Customer Gender]] = "F", "Female",orders[[#This Row],[Customer Gender]] = "O", "Others",TRUE,"Unknown")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 - orders[[#This Row],[Order Date]]</f>
        <v>1</v>
      </c>
      <c r="N1719">
        <f>WEEKNUM(orders[[#This Row],[Order Date]])</f>
        <v>10</v>
      </c>
      <c r="O1719" t="str" cm="1">
        <f t="array" ref="O1719">_xlfn.IFS(orders[[#This Row],[Customer Gender]] = "M", "Male",orders[[#This Row],[Customer Gender]] = "F", "Female",orders[[#This Row],[Customer Gender]] = "O", "Others",TRUE,"Unknown")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 - orders[[#This Row],[Order Date]]</f>
        <v>5</v>
      </c>
      <c r="N1720">
        <f>WEEKNUM(orders[[#This Row],[Order Date]])</f>
        <v>10</v>
      </c>
      <c r="O1720" t="str" cm="1">
        <f t="array" ref="O1720">_xlfn.IFS(orders[[#This Row],[Customer Gender]] = "M", "Male",orders[[#This Row],[Customer Gender]] = "F", "Female",orders[[#This Row],[Customer Gender]] = "O", "Others",TRUE,"Unknown")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 - orders[[#This Row],[Order Date]]</f>
        <v>4</v>
      </c>
      <c r="N1721">
        <f>WEEKNUM(orders[[#This Row],[Order Date]])</f>
        <v>10</v>
      </c>
      <c r="O1721" t="str" cm="1">
        <f t="array" ref="O1721">_xlfn.IFS(orders[[#This Row],[Customer Gender]] = "M", "Male",orders[[#This Row],[Customer Gender]] = "F", "Female",orders[[#This Row],[Customer Gender]] = "O", "Others",TRUE,"Unknown")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 - orders[[#This Row],[Order Date]]</f>
        <v>3</v>
      </c>
      <c r="N1722">
        <f>WEEKNUM(orders[[#This Row],[Order Date]])</f>
        <v>10</v>
      </c>
      <c r="O1722" t="str" cm="1">
        <f t="array" ref="O1722">_xlfn.IFS(orders[[#This Row],[Customer Gender]] = "M", "Male",orders[[#This Row],[Customer Gender]] = "F", "Female",orders[[#This Row],[Customer Gender]] = "O", "Others",TRUE,"Unknown")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 - orders[[#This Row],[Order Date]]</f>
        <v>0</v>
      </c>
      <c r="N1723">
        <f>WEEKNUM(orders[[#This Row],[Order Date]])</f>
        <v>10</v>
      </c>
      <c r="O1723" t="str" cm="1">
        <f t="array" ref="O1723">_xlfn.IFS(orders[[#This Row],[Customer Gender]] = "M", "Male",orders[[#This Row],[Customer Gender]] = "F", "Female",orders[[#This Row],[Customer Gender]] = "O", "Others",TRUE,"Unknown")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 - orders[[#This Row],[Order Date]]</f>
        <v>3</v>
      </c>
      <c r="N1724">
        <f>WEEKNUM(orders[[#This Row],[Order Date]])</f>
        <v>10</v>
      </c>
      <c r="O1724" t="str" cm="1">
        <f t="array" ref="O1724">_xlfn.IFS(orders[[#This Row],[Customer Gender]] = "M", "Male",orders[[#This Row],[Customer Gender]] = "F", "Female",orders[[#This Row],[Customer Gender]] = "O", "Others",TRUE,"Unknown")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 - orders[[#This Row],[Order Date]]</f>
        <v>1</v>
      </c>
      <c r="N1725">
        <f>WEEKNUM(orders[[#This Row],[Order Date]])</f>
        <v>10</v>
      </c>
      <c r="O1725" t="str" cm="1">
        <f t="array" ref="O1725">_xlfn.IFS(orders[[#This Row],[Customer Gender]] = "M", "Male",orders[[#This Row],[Customer Gender]] = "F", "Female",orders[[#This Row],[Customer Gender]] = "O", "Others",TRUE,"Unknown")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 - orders[[#This Row],[Order Date]]</f>
        <v>2</v>
      </c>
      <c r="N1726">
        <f>WEEKNUM(orders[[#This Row],[Order Date]])</f>
        <v>10</v>
      </c>
      <c r="O1726" t="str" cm="1">
        <f t="array" ref="O1726">_xlfn.IFS(orders[[#This Row],[Customer Gender]] = "M", "Male",orders[[#This Row],[Customer Gender]] = "F", "Female",orders[[#This Row],[Customer Gender]] = "O", "Others",TRUE,"Unknown")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 - orders[[#This Row],[Order Date]]</f>
        <v>1</v>
      </c>
      <c r="N1727">
        <f>WEEKNUM(orders[[#This Row],[Order Date]])</f>
        <v>10</v>
      </c>
      <c r="O1727" t="str" cm="1">
        <f t="array" ref="O1727">_xlfn.IFS(orders[[#This Row],[Customer Gender]] = "M", "Male",orders[[#This Row],[Customer Gender]] = "F", "Female",orders[[#This Row],[Customer Gender]] = "O", "Others",TRUE,"Unknown")</f>
        <v>Others</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 - orders[[#This Row],[Order Date]]</f>
        <v>4</v>
      </c>
      <c r="N1728">
        <f>WEEKNUM(orders[[#This Row],[Order Date]])</f>
        <v>10</v>
      </c>
      <c r="O1728" t="str" cm="1">
        <f t="array" ref="O1728">_xlfn.IFS(orders[[#This Row],[Customer Gender]] = "M", "Male",orders[[#This Row],[Customer Gender]] = "F", "Female",orders[[#This Row],[Customer Gender]] = "O", "Others",TRUE,"Unknown")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 - orders[[#This Row],[Order Date]]</f>
        <v>1</v>
      </c>
      <c r="N1729">
        <f>WEEKNUM(orders[[#This Row],[Order Date]])</f>
        <v>10</v>
      </c>
      <c r="O1729" t="str" cm="1">
        <f t="array" ref="O1729">_xlfn.IFS(orders[[#This Row],[Customer Gender]] = "M", "Male",orders[[#This Row],[Customer Gender]] = "F", "Female",orders[[#This Row],[Customer Gender]] = "O", "Others",TRUE,"Unknown")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 - orders[[#This Row],[Order Date]]</f>
        <v>1</v>
      </c>
      <c r="N1730">
        <f>WEEKNUM(orders[[#This Row],[Order Date]])</f>
        <v>10</v>
      </c>
      <c r="O1730" t="str" cm="1">
        <f t="array" ref="O1730">_xlfn.IFS(orders[[#This Row],[Customer Gender]] = "M", "Male",orders[[#This Row],[Customer Gender]] = "F", "Female",orders[[#This Row],[Customer Gender]] = "O", "Others",TRUE,"Unknown")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 - orders[[#This Row],[Order Date]]</f>
        <v>3</v>
      </c>
      <c r="N1731">
        <f>WEEKNUM(orders[[#This Row],[Order Date]])</f>
        <v>10</v>
      </c>
      <c r="O1731" t="str" cm="1">
        <f t="array" ref="O1731">_xlfn.IFS(orders[[#This Row],[Customer Gender]] = "M", "Male",orders[[#This Row],[Customer Gender]] = "F", "Female",orders[[#This Row],[Customer Gender]] = "O", "Others",TRUE,"Unknown")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 - orders[[#This Row],[Order Date]]</f>
        <v>5</v>
      </c>
      <c r="N1732">
        <f>WEEKNUM(orders[[#This Row],[Order Date]])</f>
        <v>10</v>
      </c>
      <c r="O1732" t="str" cm="1">
        <f t="array" ref="O1732">_xlfn.IFS(orders[[#This Row],[Customer Gender]] = "M", "Male",orders[[#This Row],[Customer Gender]] = "F", "Female",orders[[#This Row],[Customer Gender]] = "O", "Others",TRUE,"Unknown")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 - orders[[#This Row],[Order Date]]</f>
        <v>4</v>
      </c>
      <c r="N1733">
        <f>WEEKNUM(orders[[#This Row],[Order Date]])</f>
        <v>10</v>
      </c>
      <c r="O1733" t="str" cm="1">
        <f t="array" ref="O1733">_xlfn.IFS(orders[[#This Row],[Customer Gender]] = "M", "Male",orders[[#This Row],[Customer Gender]] = "F", "Female",orders[[#This Row],[Customer Gender]] = "O", "Others",TRUE,"Unknown")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 - orders[[#This Row],[Order Date]]</f>
        <v>0</v>
      </c>
      <c r="N1734">
        <f>WEEKNUM(orders[[#This Row],[Order Date]])</f>
        <v>10</v>
      </c>
      <c r="O1734" t="str" cm="1">
        <f t="array" ref="O1734">_xlfn.IFS(orders[[#This Row],[Customer Gender]] = "M", "Male",orders[[#This Row],[Customer Gender]] = "F", "Female",orders[[#This Row],[Customer Gender]] = "O", "Others",TRUE,"Unknown")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 - orders[[#This Row],[Order Date]]</f>
        <v>4</v>
      </c>
      <c r="N1735">
        <f>WEEKNUM(orders[[#This Row],[Order Date]])</f>
        <v>10</v>
      </c>
      <c r="O1735" t="str" cm="1">
        <f t="array" ref="O1735">_xlfn.IFS(orders[[#This Row],[Customer Gender]] = "M", "Male",orders[[#This Row],[Customer Gender]] = "F", "Female",orders[[#This Row],[Customer Gender]] = "O", "Others",TRUE,"Unknown")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 - orders[[#This Row],[Order Date]]</f>
        <v>1</v>
      </c>
      <c r="N1736">
        <f>WEEKNUM(orders[[#This Row],[Order Date]])</f>
        <v>10</v>
      </c>
      <c r="O1736" t="str" cm="1">
        <f t="array" ref="O1736">_xlfn.IFS(orders[[#This Row],[Customer Gender]] = "M", "Male",orders[[#This Row],[Customer Gender]] = "F", "Female",orders[[#This Row],[Customer Gender]] = "O", "Others",TRUE,"Unknown")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 - orders[[#This Row],[Order Date]]</f>
        <v>0</v>
      </c>
      <c r="N1737">
        <f>WEEKNUM(orders[[#This Row],[Order Date]])</f>
        <v>10</v>
      </c>
      <c r="O1737" t="str" cm="1">
        <f t="array" ref="O1737">_xlfn.IFS(orders[[#This Row],[Customer Gender]] = "M", "Male",orders[[#This Row],[Customer Gender]] = "F", "Female",orders[[#This Row],[Customer Gender]] = "O", "Others",TRUE,"Unknown")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 - orders[[#This Row],[Order Date]]</f>
        <v>4</v>
      </c>
      <c r="N1738">
        <f>WEEKNUM(orders[[#This Row],[Order Date]])</f>
        <v>10</v>
      </c>
      <c r="O1738" t="str" cm="1">
        <f t="array" ref="O1738">_xlfn.IFS(orders[[#This Row],[Customer Gender]] = "M", "Male",orders[[#This Row],[Customer Gender]] = "F", "Female",orders[[#This Row],[Customer Gender]] = "O", "Others",TRUE,"Unknown")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 - orders[[#This Row],[Order Date]]</f>
        <v>1</v>
      </c>
      <c r="N1739">
        <f>WEEKNUM(orders[[#This Row],[Order Date]])</f>
        <v>10</v>
      </c>
      <c r="O1739" t="str" cm="1">
        <f t="array" ref="O1739">_xlfn.IFS(orders[[#This Row],[Customer Gender]] = "M", "Male",orders[[#This Row],[Customer Gender]] = "F", "Female",orders[[#This Row],[Customer Gender]] = "O", "Others",TRUE,"Unknown")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 - orders[[#This Row],[Order Date]]</f>
        <v>0</v>
      </c>
      <c r="N1740">
        <f>WEEKNUM(orders[[#This Row],[Order Date]])</f>
        <v>10</v>
      </c>
      <c r="O1740" t="str" cm="1">
        <f t="array" ref="O1740">_xlfn.IFS(orders[[#This Row],[Customer Gender]] = "M", "Male",orders[[#This Row],[Customer Gender]] = "F", "Female",orders[[#This Row],[Customer Gender]] = "O", "Others",TRUE,"Unknown")</f>
        <v>Others</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 - orders[[#This Row],[Order Date]]</f>
        <v>3</v>
      </c>
      <c r="N1741">
        <f>WEEKNUM(orders[[#This Row],[Order Date]])</f>
        <v>10</v>
      </c>
      <c r="O1741" t="str" cm="1">
        <f t="array" ref="O1741">_xlfn.IFS(orders[[#This Row],[Customer Gender]] = "M", "Male",orders[[#This Row],[Customer Gender]] = "F", "Female",orders[[#This Row],[Customer Gender]] = "O", "Others",TRUE,"Unknown")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 - orders[[#This Row],[Order Date]]</f>
        <v>5</v>
      </c>
      <c r="N1742">
        <f>WEEKNUM(orders[[#This Row],[Order Date]])</f>
        <v>10</v>
      </c>
      <c r="O1742" t="str" cm="1">
        <f t="array" ref="O1742">_xlfn.IFS(orders[[#This Row],[Customer Gender]] = "M", "Male",orders[[#This Row],[Customer Gender]] = "F", "Female",orders[[#This Row],[Customer Gender]] = "O", "Others",TRUE,"Unknown")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 - orders[[#This Row],[Order Date]]</f>
        <v>3</v>
      </c>
      <c r="N1743">
        <f>WEEKNUM(orders[[#This Row],[Order Date]])</f>
        <v>10</v>
      </c>
      <c r="O1743" t="str" cm="1">
        <f t="array" ref="O1743">_xlfn.IFS(orders[[#This Row],[Customer Gender]] = "M", "Male",orders[[#This Row],[Customer Gender]] = "F", "Female",orders[[#This Row],[Customer Gender]] = "O", "Others",TRUE,"Unknown")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 - orders[[#This Row],[Order Date]]</f>
        <v>1</v>
      </c>
      <c r="N1744">
        <f>WEEKNUM(orders[[#This Row],[Order Date]])</f>
        <v>10</v>
      </c>
      <c r="O1744" t="str" cm="1">
        <f t="array" ref="O1744">_xlfn.IFS(orders[[#This Row],[Customer Gender]] = "M", "Male",orders[[#This Row],[Customer Gender]] = "F", "Female",orders[[#This Row],[Customer Gender]] = "O", "Others",TRUE,"Unknown")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 - orders[[#This Row],[Order Date]]</f>
        <v>3</v>
      </c>
      <c r="N1745">
        <f>WEEKNUM(orders[[#This Row],[Order Date]])</f>
        <v>10</v>
      </c>
      <c r="O1745" t="str" cm="1">
        <f t="array" ref="O1745">_xlfn.IFS(orders[[#This Row],[Customer Gender]] = "M", "Male",orders[[#This Row],[Customer Gender]] = "F", "Female",orders[[#This Row],[Customer Gender]] = "O", "Others",TRUE,"Unknown")</f>
        <v>Others</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 - orders[[#This Row],[Order Date]]</f>
        <v>10</v>
      </c>
      <c r="N1746">
        <f>WEEKNUM(orders[[#This Row],[Order Date]])</f>
        <v>10</v>
      </c>
      <c r="O1746" t="str" cm="1">
        <f t="array" ref="O1746">_xlfn.IFS(orders[[#This Row],[Customer Gender]] = "M", "Male",orders[[#This Row],[Customer Gender]] = "F", "Female",orders[[#This Row],[Customer Gender]] = "O", "Others",TRUE,"Unknown")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 - orders[[#This Row],[Order Date]]</f>
        <v>4</v>
      </c>
      <c r="N1747">
        <f>WEEKNUM(orders[[#This Row],[Order Date]])</f>
        <v>10</v>
      </c>
      <c r="O1747" t="str" cm="1">
        <f t="array" ref="O1747">_xlfn.IFS(orders[[#This Row],[Customer Gender]] = "M", "Male",orders[[#This Row],[Customer Gender]] = "F", "Female",orders[[#This Row],[Customer Gender]] = "O", "Others",TRUE,"Unknown")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 - orders[[#This Row],[Order Date]]</f>
        <v>1</v>
      </c>
      <c r="N1748">
        <f>WEEKNUM(orders[[#This Row],[Order Date]])</f>
        <v>10</v>
      </c>
      <c r="O1748" t="str" cm="1">
        <f t="array" ref="O1748">_xlfn.IFS(orders[[#This Row],[Customer Gender]] = "M", "Male",orders[[#This Row],[Customer Gender]] = "F", "Female",orders[[#This Row],[Customer Gender]] = "O", "Others",TRUE,"Unknown")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 - orders[[#This Row],[Order Date]]</f>
        <v>4</v>
      </c>
      <c r="N1749">
        <f>WEEKNUM(orders[[#This Row],[Order Date]])</f>
        <v>10</v>
      </c>
      <c r="O1749" t="str" cm="1">
        <f t="array" ref="O1749">_xlfn.IFS(orders[[#This Row],[Customer Gender]] = "M", "Male",orders[[#This Row],[Customer Gender]] = "F", "Female",orders[[#This Row],[Customer Gender]] = "O", "Others",TRUE,"Unknown")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 - orders[[#This Row],[Order Date]]</f>
        <v>2</v>
      </c>
      <c r="N1750">
        <f>WEEKNUM(orders[[#This Row],[Order Date]])</f>
        <v>10</v>
      </c>
      <c r="O1750" t="str" cm="1">
        <f t="array" ref="O1750">_xlfn.IFS(orders[[#This Row],[Customer Gender]] = "M", "Male",orders[[#This Row],[Customer Gender]] = "F", "Female",orders[[#This Row],[Customer Gender]] = "O", "Others",TRUE,"Unknown")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 - orders[[#This Row],[Order Date]]</f>
        <v>1</v>
      </c>
      <c r="N1751">
        <f>WEEKNUM(orders[[#This Row],[Order Date]])</f>
        <v>10</v>
      </c>
      <c r="O1751" t="str" cm="1">
        <f t="array" ref="O1751">_xlfn.IFS(orders[[#This Row],[Customer Gender]] = "M", "Male",orders[[#This Row],[Customer Gender]] = "F", "Female",orders[[#This Row],[Customer Gender]] = "O", "Others",TRUE,"Unknown")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 - orders[[#This Row],[Order Date]]</f>
        <v>3</v>
      </c>
      <c r="N1752">
        <f>WEEKNUM(orders[[#This Row],[Order Date]])</f>
        <v>10</v>
      </c>
      <c r="O1752" t="str" cm="1">
        <f t="array" ref="O1752">_xlfn.IFS(orders[[#This Row],[Customer Gender]] = "M", "Male",orders[[#This Row],[Customer Gender]] = "F", "Female",orders[[#This Row],[Customer Gender]] = "O", "Others",TRUE,"Unknown")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 - orders[[#This Row],[Order Date]]</f>
        <v>1</v>
      </c>
      <c r="N1753">
        <f>WEEKNUM(orders[[#This Row],[Order Date]])</f>
        <v>10</v>
      </c>
      <c r="O1753" t="str" cm="1">
        <f t="array" ref="O1753">_xlfn.IFS(orders[[#This Row],[Customer Gender]] = "M", "Male",orders[[#This Row],[Customer Gender]] = "F", "Female",orders[[#This Row],[Customer Gender]] = "O", "Others",TRUE,"Unknown")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 - orders[[#This Row],[Order Date]]</f>
        <v>1</v>
      </c>
      <c r="N1754">
        <f>WEEKNUM(orders[[#This Row],[Order Date]])</f>
        <v>10</v>
      </c>
      <c r="O1754" t="str" cm="1">
        <f t="array" ref="O1754">_xlfn.IFS(orders[[#This Row],[Customer Gender]] = "M", "Male",orders[[#This Row],[Customer Gender]] = "F", "Female",orders[[#This Row],[Customer Gender]] = "O", "Others",TRUE,"Unknown")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 - orders[[#This Row],[Order Date]]</f>
        <v>1</v>
      </c>
      <c r="N1755">
        <f>WEEKNUM(orders[[#This Row],[Order Date]])</f>
        <v>10</v>
      </c>
      <c r="O1755" t="str" cm="1">
        <f t="array" ref="O1755">_xlfn.IFS(orders[[#This Row],[Customer Gender]] = "M", "Male",orders[[#This Row],[Customer Gender]] = "F", "Female",orders[[#This Row],[Customer Gender]] = "O", "Others",TRUE,"Unknown")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 - orders[[#This Row],[Order Date]]</f>
        <v>3</v>
      </c>
      <c r="N1756">
        <f>WEEKNUM(orders[[#This Row],[Order Date]])</f>
        <v>10</v>
      </c>
      <c r="O1756" t="str" cm="1">
        <f t="array" ref="O1756">_xlfn.IFS(orders[[#This Row],[Customer Gender]] = "M", "Male",orders[[#This Row],[Customer Gender]] = "F", "Female",orders[[#This Row],[Customer Gender]] = "O", "Others",TRUE,"Unknown")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 - orders[[#This Row],[Order Date]]</f>
        <v>0</v>
      </c>
      <c r="N1757">
        <f>WEEKNUM(orders[[#This Row],[Order Date]])</f>
        <v>10</v>
      </c>
      <c r="O1757" t="str" cm="1">
        <f t="array" ref="O1757">_xlfn.IFS(orders[[#This Row],[Customer Gender]] = "M", "Male",orders[[#This Row],[Customer Gender]] = "F", "Female",orders[[#This Row],[Customer Gender]] = "O", "Others",TRUE,"Unknown")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 - orders[[#This Row],[Order Date]]</f>
        <v>4</v>
      </c>
      <c r="N1758">
        <f>WEEKNUM(orders[[#This Row],[Order Date]])</f>
        <v>10</v>
      </c>
      <c r="O1758" t="str" cm="1">
        <f t="array" ref="O1758">_xlfn.IFS(orders[[#This Row],[Customer Gender]] = "M", "Male",orders[[#This Row],[Customer Gender]] = "F", "Female",orders[[#This Row],[Customer Gender]] = "O", "Others",TRUE,"Unknown")</f>
        <v>Others</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 - orders[[#This Row],[Order Date]]</f>
        <v>1</v>
      </c>
      <c r="N1759">
        <f>WEEKNUM(orders[[#This Row],[Order Date]])</f>
        <v>10</v>
      </c>
      <c r="O1759" t="str" cm="1">
        <f t="array" ref="O1759">_xlfn.IFS(orders[[#This Row],[Customer Gender]] = "M", "Male",orders[[#This Row],[Customer Gender]] = "F", "Female",orders[[#This Row],[Customer Gender]] = "O", "Others",TRUE,"Unknown")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 - orders[[#This Row],[Order Date]]</f>
        <v>7</v>
      </c>
      <c r="N1760">
        <f>WEEKNUM(orders[[#This Row],[Order Date]])</f>
        <v>10</v>
      </c>
      <c r="O1760" t="str" cm="1">
        <f t="array" ref="O1760">_xlfn.IFS(orders[[#This Row],[Customer Gender]] = "M", "Male",orders[[#This Row],[Customer Gender]] = "F", "Female",orders[[#This Row],[Customer Gender]] = "O", "Others",TRUE,"Unknown")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 - orders[[#This Row],[Order Date]]</f>
        <v>3</v>
      </c>
      <c r="N1761">
        <f>WEEKNUM(orders[[#This Row],[Order Date]])</f>
        <v>10</v>
      </c>
      <c r="O1761" t="str" cm="1">
        <f t="array" ref="O1761">_xlfn.IFS(orders[[#This Row],[Customer Gender]] = "M", "Male",orders[[#This Row],[Customer Gender]] = "F", "Female",orders[[#This Row],[Customer Gender]] = "O", "Others",TRUE,"Unknown")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 - orders[[#This Row],[Order Date]]</f>
        <v>3</v>
      </c>
      <c r="N1762">
        <f>WEEKNUM(orders[[#This Row],[Order Date]])</f>
        <v>10</v>
      </c>
      <c r="O1762" t="str" cm="1">
        <f t="array" ref="O1762">_xlfn.IFS(orders[[#This Row],[Customer Gender]] = "M", "Male",orders[[#This Row],[Customer Gender]] = "F", "Female",orders[[#This Row],[Customer Gender]] = "O", "Others",TRUE,"Unknown")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 - orders[[#This Row],[Order Date]]</f>
        <v>2</v>
      </c>
      <c r="N1763">
        <f>WEEKNUM(orders[[#This Row],[Order Date]])</f>
        <v>10</v>
      </c>
      <c r="O1763" t="str" cm="1">
        <f t="array" ref="O1763">_xlfn.IFS(orders[[#This Row],[Customer Gender]] = "M", "Male",orders[[#This Row],[Customer Gender]] = "F", "Female",orders[[#This Row],[Customer Gender]] = "O", "Others",TRUE,"Unknown")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 - orders[[#This Row],[Order Date]]</f>
        <v>2</v>
      </c>
      <c r="N1764">
        <f>WEEKNUM(orders[[#This Row],[Order Date]])</f>
        <v>10</v>
      </c>
      <c r="O1764" t="str" cm="1">
        <f t="array" ref="O1764">_xlfn.IFS(orders[[#This Row],[Customer Gender]] = "M", "Male",orders[[#This Row],[Customer Gender]] = "F", "Female",orders[[#This Row],[Customer Gender]] = "O", "Others",TRUE,"Unknown")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 - orders[[#This Row],[Order Date]]</f>
        <v>1</v>
      </c>
      <c r="N1765">
        <f>WEEKNUM(orders[[#This Row],[Order Date]])</f>
        <v>10</v>
      </c>
      <c r="O1765" t="str" cm="1">
        <f t="array" ref="O1765">_xlfn.IFS(orders[[#This Row],[Customer Gender]] = "M", "Male",orders[[#This Row],[Customer Gender]] = "F", "Female",orders[[#This Row],[Customer Gender]] = "O", "Others",TRUE,"Unknown")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 - orders[[#This Row],[Order Date]]</f>
        <v>2</v>
      </c>
      <c r="N1766">
        <f>WEEKNUM(orders[[#This Row],[Order Date]])</f>
        <v>10</v>
      </c>
      <c r="O1766" t="str" cm="1">
        <f t="array" ref="O1766">_xlfn.IFS(orders[[#This Row],[Customer Gender]] = "M", "Male",orders[[#This Row],[Customer Gender]] = "F", "Female",orders[[#This Row],[Customer Gender]] = "O", "Others",TRUE,"Unknown")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 - orders[[#This Row],[Order Date]]</f>
        <v>1</v>
      </c>
      <c r="N1767">
        <f>WEEKNUM(orders[[#This Row],[Order Date]])</f>
        <v>10</v>
      </c>
      <c r="O1767" t="str" cm="1">
        <f t="array" ref="O1767">_xlfn.IFS(orders[[#This Row],[Customer Gender]] = "M", "Male",orders[[#This Row],[Customer Gender]] = "F", "Female",orders[[#This Row],[Customer Gender]] = "O", "Others",TRUE,"Unknown")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 - orders[[#This Row],[Order Date]]</f>
        <v>1</v>
      </c>
      <c r="N1768">
        <f>WEEKNUM(orders[[#This Row],[Order Date]])</f>
        <v>10</v>
      </c>
      <c r="O1768" t="str" cm="1">
        <f t="array" ref="O1768">_xlfn.IFS(orders[[#This Row],[Customer Gender]] = "M", "Male",orders[[#This Row],[Customer Gender]] = "F", "Female",orders[[#This Row],[Customer Gender]] = "O", "Others",TRUE,"Unknown")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 - orders[[#This Row],[Order Date]]</f>
        <v>1</v>
      </c>
      <c r="N1769">
        <f>WEEKNUM(orders[[#This Row],[Order Date]])</f>
        <v>10</v>
      </c>
      <c r="O1769" t="str" cm="1">
        <f t="array" ref="O1769">_xlfn.IFS(orders[[#This Row],[Customer Gender]] = "M", "Male",orders[[#This Row],[Customer Gender]] = "F", "Female",orders[[#This Row],[Customer Gender]] = "O", "Others",TRUE,"Unknown")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 - orders[[#This Row],[Order Date]]</f>
        <v>2</v>
      </c>
      <c r="N1770">
        <f>WEEKNUM(orders[[#This Row],[Order Date]])</f>
        <v>10</v>
      </c>
      <c r="O1770" t="str" cm="1">
        <f t="array" ref="O1770">_xlfn.IFS(orders[[#This Row],[Customer Gender]] = "M", "Male",orders[[#This Row],[Customer Gender]] = "F", "Female",orders[[#This Row],[Customer Gender]] = "O", "Others",TRUE,"Unknown")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 - orders[[#This Row],[Order Date]]</f>
        <v>2</v>
      </c>
      <c r="N1771">
        <f>WEEKNUM(orders[[#This Row],[Order Date]])</f>
        <v>10</v>
      </c>
      <c r="O1771" t="str" cm="1">
        <f t="array" ref="O1771">_xlfn.IFS(orders[[#This Row],[Customer Gender]] = "M", "Male",orders[[#This Row],[Customer Gender]] = "F", "Female",orders[[#This Row],[Customer Gender]] = "O", "Others",TRUE,"Unknown")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 - orders[[#This Row],[Order Date]]</f>
        <v>0</v>
      </c>
      <c r="N1772">
        <f>WEEKNUM(orders[[#This Row],[Order Date]])</f>
        <v>10</v>
      </c>
      <c r="O1772" t="str" cm="1">
        <f t="array" ref="O1772">_xlfn.IFS(orders[[#This Row],[Customer Gender]] = "M", "Male",orders[[#This Row],[Customer Gender]] = "F", "Female",orders[[#This Row],[Customer Gender]] = "O", "Others",TRUE,"Unknown")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 - orders[[#This Row],[Order Date]]</f>
        <v>7</v>
      </c>
      <c r="N1773">
        <f>WEEKNUM(orders[[#This Row],[Order Date]])</f>
        <v>10</v>
      </c>
      <c r="O1773" t="str" cm="1">
        <f t="array" ref="O1773">_xlfn.IFS(orders[[#This Row],[Customer Gender]] = "M", "Male",orders[[#This Row],[Customer Gender]] = "F", "Female",orders[[#This Row],[Customer Gender]] = "O", "Others",TRUE,"Unknown")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 - orders[[#This Row],[Order Date]]</f>
        <v>4</v>
      </c>
      <c r="N1774">
        <f>WEEKNUM(orders[[#This Row],[Order Date]])</f>
        <v>10</v>
      </c>
      <c r="O1774" t="str" cm="1">
        <f t="array" ref="O1774">_xlfn.IFS(orders[[#This Row],[Customer Gender]] = "M", "Male",orders[[#This Row],[Customer Gender]] = "F", "Female",orders[[#This Row],[Customer Gender]] = "O", "Others",TRUE,"Unknown")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 - orders[[#This Row],[Order Date]]</f>
        <v>2</v>
      </c>
      <c r="N1775">
        <f>WEEKNUM(orders[[#This Row],[Order Date]])</f>
        <v>10</v>
      </c>
      <c r="O1775" t="str" cm="1">
        <f t="array" ref="O1775">_xlfn.IFS(orders[[#This Row],[Customer Gender]] = "M", "Male",orders[[#This Row],[Customer Gender]] = "F", "Female",orders[[#This Row],[Customer Gender]] = "O", "Others",TRUE,"Unknown")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 - orders[[#This Row],[Order Date]]</f>
        <v>1</v>
      </c>
      <c r="N1776">
        <f>WEEKNUM(orders[[#This Row],[Order Date]])</f>
        <v>10</v>
      </c>
      <c r="O1776" t="str" cm="1">
        <f t="array" ref="O1776">_xlfn.IFS(orders[[#This Row],[Customer Gender]] = "M", "Male",orders[[#This Row],[Customer Gender]] = "F", "Female",orders[[#This Row],[Customer Gender]] = "O", "Others",TRUE,"Unknown")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 - orders[[#This Row],[Order Date]]</f>
        <v>2</v>
      </c>
      <c r="N1777">
        <f>WEEKNUM(orders[[#This Row],[Order Date]])</f>
        <v>10</v>
      </c>
      <c r="O1777" t="str" cm="1">
        <f t="array" ref="O1777">_xlfn.IFS(orders[[#This Row],[Customer Gender]] = "M", "Male",orders[[#This Row],[Customer Gender]] = "F", "Female",orders[[#This Row],[Customer Gender]] = "O", "Others",TRUE,"Unknown")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 - orders[[#This Row],[Order Date]]</f>
        <v>2</v>
      </c>
      <c r="N1778">
        <f>WEEKNUM(orders[[#This Row],[Order Date]])</f>
        <v>10</v>
      </c>
      <c r="O1778" t="str" cm="1">
        <f t="array" ref="O1778">_xlfn.IFS(orders[[#This Row],[Customer Gender]] = "M", "Male",orders[[#This Row],[Customer Gender]] = "F", "Female",orders[[#This Row],[Customer Gender]] = "O", "Others",TRUE,"Unknown")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 - orders[[#This Row],[Order Date]]</f>
        <v>3</v>
      </c>
      <c r="N1779">
        <f>WEEKNUM(orders[[#This Row],[Order Date]])</f>
        <v>10</v>
      </c>
      <c r="O1779" t="str" cm="1">
        <f t="array" ref="O1779">_xlfn.IFS(orders[[#This Row],[Customer Gender]] = "M", "Male",orders[[#This Row],[Customer Gender]] = "F", "Female",orders[[#This Row],[Customer Gender]] = "O", "Others",TRUE,"Unknown")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 - orders[[#This Row],[Order Date]]</f>
        <v>2</v>
      </c>
      <c r="N1780">
        <f>WEEKNUM(orders[[#This Row],[Order Date]])</f>
        <v>10</v>
      </c>
      <c r="O1780" t="str" cm="1">
        <f t="array" ref="O1780">_xlfn.IFS(orders[[#This Row],[Customer Gender]] = "M", "Male",orders[[#This Row],[Customer Gender]] = "F", "Female",orders[[#This Row],[Customer Gender]] = "O", "Others",TRUE,"Unknown")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 - orders[[#This Row],[Order Date]]</f>
        <v>5</v>
      </c>
      <c r="N1781">
        <f>WEEKNUM(orders[[#This Row],[Order Date]])</f>
        <v>10</v>
      </c>
      <c r="O1781" t="str" cm="1">
        <f t="array" ref="O1781">_xlfn.IFS(orders[[#This Row],[Customer Gender]] = "M", "Male",orders[[#This Row],[Customer Gender]] = "F", "Female",orders[[#This Row],[Customer Gender]] = "O", "Others",TRUE,"Unknown")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 - orders[[#This Row],[Order Date]]</f>
        <v>1</v>
      </c>
      <c r="N1782">
        <f>WEEKNUM(orders[[#This Row],[Order Date]])</f>
        <v>10</v>
      </c>
      <c r="O1782" t="str" cm="1">
        <f t="array" ref="O1782">_xlfn.IFS(orders[[#This Row],[Customer Gender]] = "M", "Male",orders[[#This Row],[Customer Gender]] = "F", "Female",orders[[#This Row],[Customer Gender]] = "O", "Others",TRUE,"Unknown")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 - orders[[#This Row],[Order Date]]</f>
        <v>3</v>
      </c>
      <c r="N1783">
        <f>WEEKNUM(orders[[#This Row],[Order Date]])</f>
        <v>10</v>
      </c>
      <c r="O1783" t="str" cm="1">
        <f t="array" ref="O1783">_xlfn.IFS(orders[[#This Row],[Customer Gender]] = "M", "Male",orders[[#This Row],[Customer Gender]] = "F", "Female",orders[[#This Row],[Customer Gender]] = "O", "Others",TRUE,"Unknown")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 - orders[[#This Row],[Order Date]]</f>
        <v>10</v>
      </c>
      <c r="N1784">
        <f>WEEKNUM(orders[[#This Row],[Order Date]])</f>
        <v>10</v>
      </c>
      <c r="O1784" t="str" cm="1">
        <f t="array" ref="O1784">_xlfn.IFS(orders[[#This Row],[Customer Gender]] = "M", "Male",orders[[#This Row],[Customer Gender]] = "F", "Female",orders[[#This Row],[Customer Gender]] = "O", "Others",TRUE,"Unknown")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 - orders[[#This Row],[Order Date]]</f>
        <v>1</v>
      </c>
      <c r="N1785">
        <f>WEEKNUM(orders[[#This Row],[Order Date]])</f>
        <v>10</v>
      </c>
      <c r="O1785" t="str" cm="1">
        <f t="array" ref="O1785">_xlfn.IFS(orders[[#This Row],[Customer Gender]] = "M", "Male",orders[[#This Row],[Customer Gender]] = "F", "Female",orders[[#This Row],[Customer Gender]] = "O", "Others",TRUE,"Unknown")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 - orders[[#This Row],[Order Date]]</f>
        <v>2</v>
      </c>
      <c r="N1786">
        <f>WEEKNUM(orders[[#This Row],[Order Date]])</f>
        <v>10</v>
      </c>
      <c r="O1786" t="str" cm="1">
        <f t="array" ref="O1786">_xlfn.IFS(orders[[#This Row],[Customer Gender]] = "M", "Male",orders[[#This Row],[Customer Gender]] = "F", "Female",orders[[#This Row],[Customer Gender]] = "O", "Others",TRUE,"Unknown")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 - orders[[#This Row],[Order Date]]</f>
        <v>2</v>
      </c>
      <c r="N1787">
        <f>WEEKNUM(orders[[#This Row],[Order Date]])</f>
        <v>10</v>
      </c>
      <c r="O1787" t="str" cm="1">
        <f t="array" ref="O1787">_xlfn.IFS(orders[[#This Row],[Customer Gender]] = "M", "Male",orders[[#This Row],[Customer Gender]] = "F", "Female",orders[[#This Row],[Customer Gender]] = "O", "Others",TRUE,"Unknown")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 - orders[[#This Row],[Order Date]]</f>
        <v>0</v>
      </c>
      <c r="N1788">
        <f>WEEKNUM(orders[[#This Row],[Order Date]])</f>
        <v>10</v>
      </c>
      <c r="O1788" t="str" cm="1">
        <f t="array" ref="O1788">_xlfn.IFS(orders[[#This Row],[Customer Gender]] = "M", "Male",orders[[#This Row],[Customer Gender]] = "F", "Female",orders[[#This Row],[Customer Gender]] = "O", "Others",TRUE,"Unknown")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 - orders[[#This Row],[Order Date]]</f>
        <v>1</v>
      </c>
      <c r="N1789">
        <f>WEEKNUM(orders[[#This Row],[Order Date]])</f>
        <v>10</v>
      </c>
      <c r="O1789" t="str" cm="1">
        <f t="array" ref="O1789">_xlfn.IFS(orders[[#This Row],[Customer Gender]] = "M", "Male",orders[[#This Row],[Customer Gender]] = "F", "Female",orders[[#This Row],[Customer Gender]] = "O", "Others",TRUE,"Unknown")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 - orders[[#This Row],[Order Date]]</f>
        <v>4</v>
      </c>
      <c r="N1790">
        <f>WEEKNUM(orders[[#This Row],[Order Date]])</f>
        <v>10</v>
      </c>
      <c r="O1790" t="str" cm="1">
        <f t="array" ref="O1790">_xlfn.IFS(orders[[#This Row],[Customer Gender]] = "M", "Male",orders[[#This Row],[Customer Gender]] = "F", "Female",orders[[#This Row],[Customer Gender]] = "O", "Others",TRUE,"Unknown")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 - orders[[#This Row],[Order Date]]</f>
        <v>4</v>
      </c>
      <c r="N1791">
        <f>WEEKNUM(orders[[#This Row],[Order Date]])</f>
        <v>10</v>
      </c>
      <c r="O1791" t="str" cm="1">
        <f t="array" ref="O1791">_xlfn.IFS(orders[[#This Row],[Customer Gender]] = "M", "Male",orders[[#This Row],[Customer Gender]] = "F", "Female",orders[[#This Row],[Customer Gender]] = "O", "Others",TRUE,"Unknown")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 - orders[[#This Row],[Order Date]]</f>
        <v>3</v>
      </c>
      <c r="N1792">
        <f>WEEKNUM(orders[[#This Row],[Order Date]])</f>
        <v>10</v>
      </c>
      <c r="O1792" t="str" cm="1">
        <f t="array" ref="O1792">_xlfn.IFS(orders[[#This Row],[Customer Gender]] = "M", "Male",orders[[#This Row],[Customer Gender]] = "F", "Female",orders[[#This Row],[Customer Gender]] = "O", "Others",TRUE,"Unknown")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 - orders[[#This Row],[Order Date]]</f>
        <v>1</v>
      </c>
      <c r="N1793">
        <f>WEEKNUM(orders[[#This Row],[Order Date]])</f>
        <v>10</v>
      </c>
      <c r="O1793" t="str" cm="1">
        <f t="array" ref="O1793">_xlfn.IFS(orders[[#This Row],[Customer Gender]] = "M", "Male",orders[[#This Row],[Customer Gender]] = "F", "Female",orders[[#This Row],[Customer Gender]] = "O", "Others",TRUE,"Unknown")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 - orders[[#This Row],[Order Date]]</f>
        <v>5</v>
      </c>
      <c r="N1794">
        <f>WEEKNUM(orders[[#This Row],[Order Date]])</f>
        <v>10</v>
      </c>
      <c r="O1794" t="str" cm="1">
        <f t="array" ref="O1794">_xlfn.IFS(orders[[#This Row],[Customer Gender]] = "M", "Male",orders[[#This Row],[Customer Gender]] = "F", "Female",orders[[#This Row],[Customer Gender]] = "O", "Others",TRUE,"Unknown")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 - orders[[#This Row],[Order Date]]</f>
        <v>1</v>
      </c>
      <c r="N1795">
        <f>WEEKNUM(orders[[#This Row],[Order Date]])</f>
        <v>10</v>
      </c>
      <c r="O1795" t="str" cm="1">
        <f t="array" ref="O1795">_xlfn.IFS(orders[[#This Row],[Customer Gender]] = "M", "Male",orders[[#This Row],[Customer Gender]] = "F", "Female",orders[[#This Row],[Customer Gender]] = "O", "Others",TRUE,"Unknown")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 - orders[[#This Row],[Order Date]]</f>
        <v>1</v>
      </c>
      <c r="N1796">
        <f>WEEKNUM(orders[[#This Row],[Order Date]])</f>
        <v>10</v>
      </c>
      <c r="O1796" t="str" cm="1">
        <f t="array" ref="O1796">_xlfn.IFS(orders[[#This Row],[Customer Gender]] = "M", "Male",orders[[#This Row],[Customer Gender]] = "F", "Female",orders[[#This Row],[Customer Gender]] = "O", "Others",TRUE,"Unknown")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 - orders[[#This Row],[Order Date]]</f>
        <v>1</v>
      </c>
      <c r="N1797">
        <f>WEEKNUM(orders[[#This Row],[Order Date]])</f>
        <v>10</v>
      </c>
      <c r="O1797" t="str" cm="1">
        <f t="array" ref="O1797">_xlfn.IFS(orders[[#This Row],[Customer Gender]] = "M", "Male",orders[[#This Row],[Customer Gender]] = "F", "Female",orders[[#This Row],[Customer Gender]] = "O", "Others",TRUE,"Unknown")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 - orders[[#This Row],[Order Date]]</f>
        <v>1</v>
      </c>
      <c r="N1798">
        <f>WEEKNUM(orders[[#This Row],[Order Date]])</f>
        <v>10</v>
      </c>
      <c r="O1798" t="str" cm="1">
        <f t="array" ref="O1798">_xlfn.IFS(orders[[#This Row],[Customer Gender]] = "M", "Male",orders[[#This Row],[Customer Gender]] = "F", "Female",orders[[#This Row],[Customer Gender]] = "O", "Others",TRUE,"Unknown")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 - orders[[#This Row],[Order Date]]</f>
        <v>2</v>
      </c>
      <c r="N1799">
        <f>WEEKNUM(orders[[#This Row],[Order Date]])</f>
        <v>10</v>
      </c>
      <c r="O1799" t="str" cm="1">
        <f t="array" ref="O1799">_xlfn.IFS(orders[[#This Row],[Customer Gender]] = "M", "Male",orders[[#This Row],[Customer Gender]] = "F", "Female",orders[[#This Row],[Customer Gender]] = "O", "Others",TRUE,"Unknown")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 - orders[[#This Row],[Order Date]]</f>
        <v>5</v>
      </c>
      <c r="N1800">
        <f>WEEKNUM(orders[[#This Row],[Order Date]])</f>
        <v>10</v>
      </c>
      <c r="O1800" t="str" cm="1">
        <f t="array" ref="O1800">_xlfn.IFS(orders[[#This Row],[Customer Gender]] = "M", "Male",orders[[#This Row],[Customer Gender]] = "F", "Female",orders[[#This Row],[Customer Gender]] = "O", "Others",TRUE,"Unknown")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 - orders[[#This Row],[Order Date]]</f>
        <v>1</v>
      </c>
      <c r="N1801">
        <f>WEEKNUM(orders[[#This Row],[Order Date]])</f>
        <v>10</v>
      </c>
      <c r="O1801" t="str" cm="1">
        <f t="array" ref="O1801">_xlfn.IFS(orders[[#This Row],[Customer Gender]] = "M", "Male",orders[[#This Row],[Customer Gender]] = "F", "Female",orders[[#This Row],[Customer Gender]] = "O", "Others",TRUE,"Unknown")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 - orders[[#This Row],[Order Date]]</f>
        <v>0</v>
      </c>
      <c r="N1802">
        <f>WEEKNUM(orders[[#This Row],[Order Date]])</f>
        <v>10</v>
      </c>
      <c r="O1802" t="str" cm="1">
        <f t="array" ref="O1802">_xlfn.IFS(orders[[#This Row],[Customer Gender]] = "M", "Male",orders[[#This Row],[Customer Gender]] = "F", "Female",orders[[#This Row],[Customer Gender]] = "O", "Others",TRUE,"Unknown")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 - orders[[#This Row],[Order Date]]</f>
        <v>1</v>
      </c>
      <c r="N1803">
        <f>WEEKNUM(orders[[#This Row],[Order Date]])</f>
        <v>10</v>
      </c>
      <c r="O1803" t="str" cm="1">
        <f t="array" ref="O1803">_xlfn.IFS(orders[[#This Row],[Customer Gender]] = "M", "Male",orders[[#This Row],[Customer Gender]] = "F", "Female",orders[[#This Row],[Customer Gender]] = "O", "Others",TRUE,"Unknown")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 - orders[[#This Row],[Order Date]]</f>
        <v>1</v>
      </c>
      <c r="N1804">
        <f>WEEKNUM(orders[[#This Row],[Order Date]])</f>
        <v>10</v>
      </c>
      <c r="O1804" t="str" cm="1">
        <f t="array" ref="O1804">_xlfn.IFS(orders[[#This Row],[Customer Gender]] = "M", "Male",orders[[#This Row],[Customer Gender]] = "F", "Female",orders[[#This Row],[Customer Gender]] = "O", "Others",TRUE,"Unknown")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 - orders[[#This Row],[Order Date]]</f>
        <v>1</v>
      </c>
      <c r="N1805">
        <f>WEEKNUM(orders[[#This Row],[Order Date]])</f>
        <v>10</v>
      </c>
      <c r="O1805" t="str" cm="1">
        <f t="array" ref="O1805">_xlfn.IFS(orders[[#This Row],[Customer Gender]] = "M", "Male",orders[[#This Row],[Customer Gender]] = "F", "Female",orders[[#This Row],[Customer Gender]] = "O", "Others",TRUE,"Unknown")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 - orders[[#This Row],[Order Date]]</f>
        <v>6</v>
      </c>
      <c r="N1806">
        <f>WEEKNUM(orders[[#This Row],[Order Date]])</f>
        <v>10</v>
      </c>
      <c r="O1806" t="str" cm="1">
        <f t="array" ref="O1806">_xlfn.IFS(orders[[#This Row],[Customer Gender]] = "M", "Male",orders[[#This Row],[Customer Gender]] = "F", "Female",orders[[#This Row],[Customer Gender]] = "O", "Others",TRUE,"Unknown")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 - orders[[#This Row],[Order Date]]</f>
        <v>1</v>
      </c>
      <c r="N1807">
        <f>WEEKNUM(orders[[#This Row],[Order Date]])</f>
        <v>10</v>
      </c>
      <c r="O1807" t="str" cm="1">
        <f t="array" ref="O1807">_xlfn.IFS(orders[[#This Row],[Customer Gender]] = "M", "Male",orders[[#This Row],[Customer Gender]] = "F", "Female",orders[[#This Row],[Customer Gender]] = "O", "Others",TRUE,"Unknown")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 - orders[[#This Row],[Order Date]]</f>
        <v>4</v>
      </c>
      <c r="N1808">
        <f>WEEKNUM(orders[[#This Row],[Order Date]])</f>
        <v>10</v>
      </c>
      <c r="O1808" t="str" cm="1">
        <f t="array" ref="O1808">_xlfn.IFS(orders[[#This Row],[Customer Gender]] = "M", "Male",orders[[#This Row],[Customer Gender]] = "F", "Female",orders[[#This Row],[Customer Gender]] = "O", "Others",TRUE,"Unknown")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 - orders[[#This Row],[Order Date]]</f>
        <v>1</v>
      </c>
      <c r="N1809">
        <f>WEEKNUM(orders[[#This Row],[Order Date]])</f>
        <v>10</v>
      </c>
      <c r="O1809" t="str" cm="1">
        <f t="array" ref="O1809">_xlfn.IFS(orders[[#This Row],[Customer Gender]] = "M", "Male",orders[[#This Row],[Customer Gender]] = "F", "Female",orders[[#This Row],[Customer Gender]] = "O", "Others",TRUE,"Unknown")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 - orders[[#This Row],[Order Date]]</f>
        <v>2</v>
      </c>
      <c r="N1810">
        <f>WEEKNUM(orders[[#This Row],[Order Date]])</f>
        <v>10</v>
      </c>
      <c r="O1810" t="str" cm="1">
        <f t="array" ref="O1810">_xlfn.IFS(orders[[#This Row],[Customer Gender]] = "M", "Male",orders[[#This Row],[Customer Gender]] = "F", "Female",orders[[#This Row],[Customer Gender]] = "O", "Others",TRUE,"Unknown")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 - orders[[#This Row],[Order Date]]</f>
        <v>4</v>
      </c>
      <c r="N1811">
        <f>WEEKNUM(orders[[#This Row],[Order Date]])</f>
        <v>10</v>
      </c>
      <c r="O1811" t="str" cm="1">
        <f t="array" ref="O1811">_xlfn.IFS(orders[[#This Row],[Customer Gender]] = "M", "Male",orders[[#This Row],[Customer Gender]] = "F", "Female",orders[[#This Row],[Customer Gender]] = "O", "Others",TRUE,"Unknown")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 - orders[[#This Row],[Order Date]]</f>
        <v>4</v>
      </c>
      <c r="N1812">
        <f>WEEKNUM(orders[[#This Row],[Order Date]])</f>
        <v>10</v>
      </c>
      <c r="O1812" t="str" cm="1">
        <f t="array" ref="O1812">_xlfn.IFS(orders[[#This Row],[Customer Gender]] = "M", "Male",orders[[#This Row],[Customer Gender]] = "F", "Female",orders[[#This Row],[Customer Gender]] = "O", "Others",TRUE,"Unknown")</f>
        <v>Others</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 - orders[[#This Row],[Order Date]]</f>
        <v>3</v>
      </c>
      <c r="N1813">
        <f>WEEKNUM(orders[[#This Row],[Order Date]])</f>
        <v>10</v>
      </c>
      <c r="O1813" t="str" cm="1">
        <f t="array" ref="O1813">_xlfn.IFS(orders[[#This Row],[Customer Gender]] = "M", "Male",orders[[#This Row],[Customer Gender]] = "F", "Female",orders[[#This Row],[Customer Gender]] = "O", "Others",TRUE,"Unknown")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 - orders[[#This Row],[Order Date]]</f>
        <v>1</v>
      </c>
      <c r="N1814">
        <f>WEEKNUM(orders[[#This Row],[Order Date]])</f>
        <v>10</v>
      </c>
      <c r="O1814" t="str" cm="1">
        <f t="array" ref="O1814">_xlfn.IFS(orders[[#This Row],[Customer Gender]] = "M", "Male",orders[[#This Row],[Customer Gender]] = "F", "Female",orders[[#This Row],[Customer Gender]] = "O", "Others",TRUE,"Unknown")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 - orders[[#This Row],[Order Date]]</f>
        <v>3</v>
      </c>
      <c r="N1815">
        <f>WEEKNUM(orders[[#This Row],[Order Date]])</f>
        <v>10</v>
      </c>
      <c r="O1815" t="str" cm="1">
        <f t="array" ref="O1815">_xlfn.IFS(orders[[#This Row],[Customer Gender]] = "M", "Male",orders[[#This Row],[Customer Gender]] = "F", "Female",orders[[#This Row],[Customer Gender]] = "O", "Others",TRUE,"Unknown")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 - orders[[#This Row],[Order Date]]</f>
        <v>2</v>
      </c>
      <c r="N1816">
        <f>WEEKNUM(orders[[#This Row],[Order Date]])</f>
        <v>10</v>
      </c>
      <c r="O1816" t="str" cm="1">
        <f t="array" ref="O1816">_xlfn.IFS(orders[[#This Row],[Customer Gender]] = "M", "Male",orders[[#This Row],[Customer Gender]] = "F", "Female",orders[[#This Row],[Customer Gender]] = "O", "Others",TRUE,"Unknown")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 - orders[[#This Row],[Order Date]]</f>
        <v>0</v>
      </c>
      <c r="N1817">
        <f>WEEKNUM(orders[[#This Row],[Order Date]])</f>
        <v>10</v>
      </c>
      <c r="O1817" t="str" cm="1">
        <f t="array" ref="O1817">_xlfn.IFS(orders[[#This Row],[Customer Gender]] = "M", "Male",orders[[#This Row],[Customer Gender]] = "F", "Female",orders[[#This Row],[Customer Gender]] = "O", "Others",TRUE,"Unknown")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 - orders[[#This Row],[Order Date]]</f>
        <v>2</v>
      </c>
      <c r="N1818">
        <f>WEEKNUM(orders[[#This Row],[Order Date]])</f>
        <v>10</v>
      </c>
      <c r="O1818" t="str" cm="1">
        <f t="array" ref="O1818">_xlfn.IFS(orders[[#This Row],[Customer Gender]] = "M", "Male",orders[[#This Row],[Customer Gender]] = "F", "Female",orders[[#This Row],[Customer Gender]] = "O", "Others",TRUE,"Unknown")</f>
        <v>Others</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 - orders[[#This Row],[Order Date]]</f>
        <v>0</v>
      </c>
      <c r="N1819">
        <f>WEEKNUM(orders[[#This Row],[Order Date]])</f>
        <v>10</v>
      </c>
      <c r="O1819" t="str" cm="1">
        <f t="array" ref="O1819">_xlfn.IFS(orders[[#This Row],[Customer Gender]] = "M", "Male",orders[[#This Row],[Customer Gender]] = "F", "Female",orders[[#This Row],[Customer Gender]] = "O", "Others",TRUE,"Unknown")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 - orders[[#This Row],[Order Date]]</f>
        <v>4</v>
      </c>
      <c r="N1820">
        <f>WEEKNUM(orders[[#This Row],[Order Date]])</f>
        <v>10</v>
      </c>
      <c r="O1820" t="str" cm="1">
        <f t="array" ref="O1820">_xlfn.IFS(orders[[#This Row],[Customer Gender]] = "M", "Male",orders[[#This Row],[Customer Gender]] = "F", "Female",orders[[#This Row],[Customer Gender]] = "O", "Others",TRUE,"Unknown")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 - orders[[#This Row],[Order Date]]</f>
        <v>2</v>
      </c>
      <c r="N1821">
        <f>WEEKNUM(orders[[#This Row],[Order Date]])</f>
        <v>10</v>
      </c>
      <c r="O1821" t="str" cm="1">
        <f t="array" ref="O1821">_xlfn.IFS(orders[[#This Row],[Customer Gender]] = "M", "Male",orders[[#This Row],[Customer Gender]] = "F", "Female",orders[[#This Row],[Customer Gender]] = "O", "Others",TRUE,"Unknown")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 - orders[[#This Row],[Order Date]]</f>
        <v>1</v>
      </c>
      <c r="N1822">
        <f>WEEKNUM(orders[[#This Row],[Order Date]])</f>
        <v>10</v>
      </c>
      <c r="O1822" t="str" cm="1">
        <f t="array" ref="O1822">_xlfn.IFS(orders[[#This Row],[Customer Gender]] = "M", "Male",orders[[#This Row],[Customer Gender]] = "F", "Female",orders[[#This Row],[Customer Gender]] = "O", "Others",TRUE,"Unknown")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 - orders[[#This Row],[Order Date]]</f>
        <v>2</v>
      </c>
      <c r="N1823">
        <f>WEEKNUM(orders[[#This Row],[Order Date]])</f>
        <v>10</v>
      </c>
      <c r="O1823" t="str" cm="1">
        <f t="array" ref="O1823">_xlfn.IFS(orders[[#This Row],[Customer Gender]] = "M", "Male",orders[[#This Row],[Customer Gender]] = "F", "Female",orders[[#This Row],[Customer Gender]] = "O", "Others",TRUE,"Unknown")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 - orders[[#This Row],[Order Date]]</f>
        <v>0</v>
      </c>
      <c r="N1824">
        <f>WEEKNUM(orders[[#This Row],[Order Date]])</f>
        <v>10</v>
      </c>
      <c r="O1824" t="str" cm="1">
        <f t="array" ref="O1824">_xlfn.IFS(orders[[#This Row],[Customer Gender]] = "M", "Male",orders[[#This Row],[Customer Gender]] = "F", "Female",orders[[#This Row],[Customer Gender]] = "O", "Others",TRUE,"Unknown")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 - orders[[#This Row],[Order Date]]</f>
        <v>1</v>
      </c>
      <c r="N1825">
        <f>WEEKNUM(orders[[#This Row],[Order Date]])</f>
        <v>10</v>
      </c>
      <c r="O1825" t="str" cm="1">
        <f t="array" ref="O1825">_xlfn.IFS(orders[[#This Row],[Customer Gender]] = "M", "Male",orders[[#This Row],[Customer Gender]] = "F", "Female",orders[[#This Row],[Customer Gender]] = "O", "Others",TRUE,"Unknown")</f>
        <v>Others</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 - orders[[#This Row],[Order Date]]</f>
        <v>2</v>
      </c>
      <c r="N1826">
        <f>WEEKNUM(orders[[#This Row],[Order Date]])</f>
        <v>10</v>
      </c>
      <c r="O1826" t="str" cm="1">
        <f t="array" ref="O1826">_xlfn.IFS(orders[[#This Row],[Customer Gender]] = "M", "Male",orders[[#This Row],[Customer Gender]] = "F", "Female",orders[[#This Row],[Customer Gender]] = "O", "Others",TRUE,"Unknown")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 - orders[[#This Row],[Order Date]]</f>
        <v>1</v>
      </c>
      <c r="N1827">
        <f>WEEKNUM(orders[[#This Row],[Order Date]])</f>
        <v>10</v>
      </c>
      <c r="O1827" t="str" cm="1">
        <f t="array" ref="O1827">_xlfn.IFS(orders[[#This Row],[Customer Gender]] = "M", "Male",orders[[#This Row],[Customer Gender]] = "F", "Female",orders[[#This Row],[Customer Gender]] = "O", "Others",TRUE,"Unknown")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 - orders[[#This Row],[Order Date]]</f>
        <v>1</v>
      </c>
      <c r="N1828">
        <f>WEEKNUM(orders[[#This Row],[Order Date]])</f>
        <v>10</v>
      </c>
      <c r="O1828" t="str" cm="1">
        <f t="array" ref="O1828">_xlfn.IFS(orders[[#This Row],[Customer Gender]] = "M", "Male",orders[[#This Row],[Customer Gender]] = "F", "Female",orders[[#This Row],[Customer Gender]] = "O", "Others",TRUE,"Unknown")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 - orders[[#This Row],[Order Date]]</f>
        <v>1</v>
      </c>
      <c r="N1829">
        <f>WEEKNUM(orders[[#This Row],[Order Date]])</f>
        <v>11</v>
      </c>
      <c r="O1829" t="str" cm="1">
        <f t="array" ref="O1829">_xlfn.IFS(orders[[#This Row],[Customer Gender]] = "M", "Male",orders[[#This Row],[Customer Gender]] = "F", "Female",orders[[#This Row],[Customer Gender]] = "O", "Others",TRUE,"Unknown")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 - orders[[#This Row],[Order Date]]</f>
        <v>6</v>
      </c>
      <c r="N1830">
        <f>WEEKNUM(orders[[#This Row],[Order Date]])</f>
        <v>11</v>
      </c>
      <c r="O1830" t="str" cm="1">
        <f t="array" ref="O1830">_xlfn.IFS(orders[[#This Row],[Customer Gender]] = "M", "Male",orders[[#This Row],[Customer Gender]] = "F", "Female",orders[[#This Row],[Customer Gender]] = "O", "Others",TRUE,"Unknown")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 - orders[[#This Row],[Order Date]]</f>
        <v>1</v>
      </c>
      <c r="N1831">
        <f>WEEKNUM(orders[[#This Row],[Order Date]])</f>
        <v>11</v>
      </c>
      <c r="O1831" t="str" cm="1">
        <f t="array" ref="O1831">_xlfn.IFS(orders[[#This Row],[Customer Gender]] = "M", "Male",orders[[#This Row],[Customer Gender]] = "F", "Female",orders[[#This Row],[Customer Gender]] = "O", "Others",TRUE,"Unknown")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 - orders[[#This Row],[Order Date]]</f>
        <v>1</v>
      </c>
      <c r="N1832">
        <f>WEEKNUM(orders[[#This Row],[Order Date]])</f>
        <v>11</v>
      </c>
      <c r="O1832" t="str" cm="1">
        <f t="array" ref="O1832">_xlfn.IFS(orders[[#This Row],[Customer Gender]] = "M", "Male",orders[[#This Row],[Customer Gender]] = "F", "Female",orders[[#This Row],[Customer Gender]] = "O", "Others",TRUE,"Unknown")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 - orders[[#This Row],[Order Date]]</f>
        <v>2</v>
      </c>
      <c r="N1833">
        <f>WEEKNUM(orders[[#This Row],[Order Date]])</f>
        <v>11</v>
      </c>
      <c r="O1833" t="str" cm="1">
        <f t="array" ref="O1833">_xlfn.IFS(orders[[#This Row],[Customer Gender]] = "M", "Male",orders[[#This Row],[Customer Gender]] = "F", "Female",orders[[#This Row],[Customer Gender]] = "O", "Others",TRUE,"Unknown")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 - orders[[#This Row],[Order Date]]</f>
        <v>12</v>
      </c>
      <c r="N1834">
        <f>WEEKNUM(orders[[#This Row],[Order Date]])</f>
        <v>11</v>
      </c>
      <c r="O1834" t="str" cm="1">
        <f t="array" ref="O1834">_xlfn.IFS(orders[[#This Row],[Customer Gender]] = "M", "Male",orders[[#This Row],[Customer Gender]] = "F", "Female",orders[[#This Row],[Customer Gender]] = "O", "Others",TRUE,"Unknown")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 - orders[[#This Row],[Order Date]]</f>
        <v>6</v>
      </c>
      <c r="N1835">
        <f>WEEKNUM(orders[[#This Row],[Order Date]])</f>
        <v>11</v>
      </c>
      <c r="O1835" t="str" cm="1">
        <f t="array" ref="O1835">_xlfn.IFS(orders[[#This Row],[Customer Gender]] = "M", "Male",orders[[#This Row],[Customer Gender]] = "F", "Female",orders[[#This Row],[Customer Gender]] = "O", "Others",TRUE,"Unknown")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 - orders[[#This Row],[Order Date]]</f>
        <v>4</v>
      </c>
      <c r="N1836">
        <f>WEEKNUM(orders[[#This Row],[Order Date]])</f>
        <v>11</v>
      </c>
      <c r="O1836" t="str" cm="1">
        <f t="array" ref="O1836">_xlfn.IFS(orders[[#This Row],[Customer Gender]] = "M", "Male",orders[[#This Row],[Customer Gender]] = "F", "Female",orders[[#This Row],[Customer Gender]] = "O", "Others",TRUE,"Unknown")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 - orders[[#This Row],[Order Date]]</f>
        <v>1</v>
      </c>
      <c r="N1837">
        <f>WEEKNUM(orders[[#This Row],[Order Date]])</f>
        <v>11</v>
      </c>
      <c r="O1837" t="str" cm="1">
        <f t="array" ref="O1837">_xlfn.IFS(orders[[#This Row],[Customer Gender]] = "M", "Male",orders[[#This Row],[Customer Gender]] = "F", "Female",orders[[#This Row],[Customer Gender]] = "O", "Others",TRUE,"Unknown")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 - orders[[#This Row],[Order Date]]</f>
        <v>1</v>
      </c>
      <c r="N1838">
        <f>WEEKNUM(orders[[#This Row],[Order Date]])</f>
        <v>11</v>
      </c>
      <c r="O1838" t="str" cm="1">
        <f t="array" ref="O1838">_xlfn.IFS(orders[[#This Row],[Customer Gender]] = "M", "Male",orders[[#This Row],[Customer Gender]] = "F", "Female",orders[[#This Row],[Customer Gender]] = "O", "Others",TRUE,"Unknown")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 - orders[[#This Row],[Order Date]]</f>
        <v>5</v>
      </c>
      <c r="N1839">
        <f>WEEKNUM(orders[[#This Row],[Order Date]])</f>
        <v>11</v>
      </c>
      <c r="O1839" t="str" cm="1">
        <f t="array" ref="O1839">_xlfn.IFS(orders[[#This Row],[Customer Gender]] = "M", "Male",orders[[#This Row],[Customer Gender]] = "F", "Female",orders[[#This Row],[Customer Gender]] = "O", "Others",TRUE,"Unknown")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 - orders[[#This Row],[Order Date]]</f>
        <v>6</v>
      </c>
      <c r="N1840">
        <f>WEEKNUM(orders[[#This Row],[Order Date]])</f>
        <v>11</v>
      </c>
      <c r="O1840" t="str" cm="1">
        <f t="array" ref="O1840">_xlfn.IFS(orders[[#This Row],[Customer Gender]] = "M", "Male",orders[[#This Row],[Customer Gender]] = "F", "Female",orders[[#This Row],[Customer Gender]] = "O", "Others",TRUE,"Unknown")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 - orders[[#This Row],[Order Date]]</f>
        <v>8</v>
      </c>
      <c r="N1841">
        <f>WEEKNUM(orders[[#This Row],[Order Date]])</f>
        <v>11</v>
      </c>
      <c r="O1841" t="str" cm="1">
        <f t="array" ref="O1841">_xlfn.IFS(orders[[#This Row],[Customer Gender]] = "M", "Male",orders[[#This Row],[Customer Gender]] = "F", "Female",orders[[#This Row],[Customer Gender]] = "O", "Others",TRUE,"Unknown")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 - orders[[#This Row],[Order Date]]</f>
        <v>1</v>
      </c>
      <c r="N1842">
        <f>WEEKNUM(orders[[#This Row],[Order Date]])</f>
        <v>11</v>
      </c>
      <c r="O1842" t="str" cm="1">
        <f t="array" ref="O1842">_xlfn.IFS(orders[[#This Row],[Customer Gender]] = "M", "Male",orders[[#This Row],[Customer Gender]] = "F", "Female",orders[[#This Row],[Customer Gender]] = "O", "Others",TRUE,"Unknown")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 - orders[[#This Row],[Order Date]]</f>
        <v>1</v>
      </c>
      <c r="N1843">
        <f>WEEKNUM(orders[[#This Row],[Order Date]])</f>
        <v>11</v>
      </c>
      <c r="O1843" t="str" cm="1">
        <f t="array" ref="O1843">_xlfn.IFS(orders[[#This Row],[Customer Gender]] = "M", "Male",orders[[#This Row],[Customer Gender]] = "F", "Female",orders[[#This Row],[Customer Gender]] = "O", "Others",TRUE,"Unknown")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 - orders[[#This Row],[Order Date]]</f>
        <v>3</v>
      </c>
      <c r="N1844">
        <f>WEEKNUM(orders[[#This Row],[Order Date]])</f>
        <v>11</v>
      </c>
      <c r="O1844" t="str" cm="1">
        <f t="array" ref="O1844">_xlfn.IFS(orders[[#This Row],[Customer Gender]] = "M", "Male",orders[[#This Row],[Customer Gender]] = "F", "Female",orders[[#This Row],[Customer Gender]] = "O", "Others",TRUE,"Unknown")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 - orders[[#This Row],[Order Date]]</f>
        <v>4</v>
      </c>
      <c r="N1845">
        <f>WEEKNUM(orders[[#This Row],[Order Date]])</f>
        <v>11</v>
      </c>
      <c r="O1845" t="str" cm="1">
        <f t="array" ref="O1845">_xlfn.IFS(orders[[#This Row],[Customer Gender]] = "M", "Male",orders[[#This Row],[Customer Gender]] = "F", "Female",orders[[#This Row],[Customer Gender]] = "O", "Others",TRUE,"Unknown")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 - orders[[#This Row],[Order Date]]</f>
        <v>1</v>
      </c>
      <c r="N1846">
        <f>WEEKNUM(orders[[#This Row],[Order Date]])</f>
        <v>11</v>
      </c>
      <c r="O1846" t="str" cm="1">
        <f t="array" ref="O1846">_xlfn.IFS(orders[[#This Row],[Customer Gender]] = "M", "Male",orders[[#This Row],[Customer Gender]] = "F", "Female",orders[[#This Row],[Customer Gender]] = "O", "Others",TRUE,"Unknown")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 - orders[[#This Row],[Order Date]]</f>
        <v>1</v>
      </c>
      <c r="N1847">
        <f>WEEKNUM(orders[[#This Row],[Order Date]])</f>
        <v>11</v>
      </c>
      <c r="O1847" t="str" cm="1">
        <f t="array" ref="O1847">_xlfn.IFS(orders[[#This Row],[Customer Gender]] = "M", "Male",orders[[#This Row],[Customer Gender]] = "F", "Female",orders[[#This Row],[Customer Gender]] = "O", "Others",TRUE,"Unknown")</f>
        <v>Others</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 - orders[[#This Row],[Order Date]]</f>
        <v>5</v>
      </c>
      <c r="N1848">
        <f>WEEKNUM(orders[[#This Row],[Order Date]])</f>
        <v>11</v>
      </c>
      <c r="O1848" t="str" cm="1">
        <f t="array" ref="O1848">_xlfn.IFS(orders[[#This Row],[Customer Gender]] = "M", "Male",orders[[#This Row],[Customer Gender]] = "F", "Female",orders[[#This Row],[Customer Gender]] = "O", "Others",TRUE,"Unknown")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 - orders[[#This Row],[Order Date]]</f>
        <v>2</v>
      </c>
      <c r="N1849">
        <f>WEEKNUM(orders[[#This Row],[Order Date]])</f>
        <v>11</v>
      </c>
      <c r="O1849" t="str" cm="1">
        <f t="array" ref="O1849">_xlfn.IFS(orders[[#This Row],[Customer Gender]] = "M", "Male",orders[[#This Row],[Customer Gender]] = "F", "Female",orders[[#This Row],[Customer Gender]] = "O", "Others",TRUE,"Unknown")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 - orders[[#This Row],[Order Date]]</f>
        <v>1</v>
      </c>
      <c r="N1850">
        <f>WEEKNUM(orders[[#This Row],[Order Date]])</f>
        <v>11</v>
      </c>
      <c r="O1850" t="str" cm="1">
        <f t="array" ref="O1850">_xlfn.IFS(orders[[#This Row],[Customer Gender]] = "M", "Male",orders[[#This Row],[Customer Gender]] = "F", "Female",orders[[#This Row],[Customer Gender]] = "O", "Others",TRUE,"Unknown")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 - orders[[#This Row],[Order Date]]</f>
        <v>6</v>
      </c>
      <c r="N1851">
        <f>WEEKNUM(orders[[#This Row],[Order Date]])</f>
        <v>11</v>
      </c>
      <c r="O1851" t="str" cm="1">
        <f t="array" ref="O1851">_xlfn.IFS(orders[[#This Row],[Customer Gender]] = "M", "Male",orders[[#This Row],[Customer Gender]] = "F", "Female",orders[[#This Row],[Customer Gender]] = "O", "Others",TRUE,"Unknown")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 - orders[[#This Row],[Order Date]]</f>
        <v>1</v>
      </c>
      <c r="N1852">
        <f>WEEKNUM(orders[[#This Row],[Order Date]])</f>
        <v>11</v>
      </c>
      <c r="O1852" t="str" cm="1">
        <f t="array" ref="O1852">_xlfn.IFS(orders[[#This Row],[Customer Gender]] = "M", "Male",orders[[#This Row],[Customer Gender]] = "F", "Female",orders[[#This Row],[Customer Gender]] = "O", "Others",TRUE,"Unknown")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 - orders[[#This Row],[Order Date]]</f>
        <v>1</v>
      </c>
      <c r="N1853">
        <f>WEEKNUM(orders[[#This Row],[Order Date]])</f>
        <v>11</v>
      </c>
      <c r="O1853" t="str" cm="1">
        <f t="array" ref="O1853">_xlfn.IFS(orders[[#This Row],[Customer Gender]] = "M", "Male",orders[[#This Row],[Customer Gender]] = "F", "Female",orders[[#This Row],[Customer Gender]] = "O", "Others",TRUE,"Unknown")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 - orders[[#This Row],[Order Date]]</f>
        <v>2</v>
      </c>
      <c r="N1854">
        <f>WEEKNUM(orders[[#This Row],[Order Date]])</f>
        <v>11</v>
      </c>
      <c r="O1854" t="str" cm="1">
        <f t="array" ref="O1854">_xlfn.IFS(orders[[#This Row],[Customer Gender]] = "M", "Male",orders[[#This Row],[Customer Gender]] = "F", "Female",orders[[#This Row],[Customer Gender]] = "O", "Others",TRUE,"Unknown")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 - orders[[#This Row],[Order Date]]</f>
        <v>3</v>
      </c>
      <c r="N1855">
        <f>WEEKNUM(orders[[#This Row],[Order Date]])</f>
        <v>11</v>
      </c>
      <c r="O1855" t="str" cm="1">
        <f t="array" ref="O1855">_xlfn.IFS(orders[[#This Row],[Customer Gender]] = "M", "Male",orders[[#This Row],[Customer Gender]] = "F", "Female",orders[[#This Row],[Customer Gender]] = "O", "Others",TRUE,"Unknown")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 - orders[[#This Row],[Order Date]]</f>
        <v>2</v>
      </c>
      <c r="N1856">
        <f>WEEKNUM(orders[[#This Row],[Order Date]])</f>
        <v>11</v>
      </c>
      <c r="O1856" t="str" cm="1">
        <f t="array" ref="O1856">_xlfn.IFS(orders[[#This Row],[Customer Gender]] = "M", "Male",orders[[#This Row],[Customer Gender]] = "F", "Female",orders[[#This Row],[Customer Gender]] = "O", "Others",TRUE,"Unknown")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 - orders[[#This Row],[Order Date]]</f>
        <v>1</v>
      </c>
      <c r="N1857">
        <f>WEEKNUM(orders[[#This Row],[Order Date]])</f>
        <v>11</v>
      </c>
      <c r="O1857" t="str" cm="1">
        <f t="array" ref="O1857">_xlfn.IFS(orders[[#This Row],[Customer Gender]] = "M", "Male",orders[[#This Row],[Customer Gender]] = "F", "Female",orders[[#This Row],[Customer Gender]] = "O", "Others",TRUE,"Unknown")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 - orders[[#This Row],[Order Date]]</f>
        <v>6</v>
      </c>
      <c r="N1858">
        <f>WEEKNUM(orders[[#This Row],[Order Date]])</f>
        <v>11</v>
      </c>
      <c r="O1858" t="str" cm="1">
        <f t="array" ref="O1858">_xlfn.IFS(orders[[#This Row],[Customer Gender]] = "M", "Male",orders[[#This Row],[Customer Gender]] = "F", "Female",orders[[#This Row],[Customer Gender]] = "O", "Others",TRUE,"Unknown")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 - orders[[#This Row],[Order Date]]</f>
        <v>5</v>
      </c>
      <c r="N1859">
        <f>WEEKNUM(orders[[#This Row],[Order Date]])</f>
        <v>11</v>
      </c>
      <c r="O1859" t="str" cm="1">
        <f t="array" ref="O1859">_xlfn.IFS(orders[[#This Row],[Customer Gender]] = "M", "Male",orders[[#This Row],[Customer Gender]] = "F", "Female",orders[[#This Row],[Customer Gender]] = "O", "Others",TRUE,"Unknown")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 - orders[[#This Row],[Order Date]]</f>
        <v>3</v>
      </c>
      <c r="N1860">
        <f>WEEKNUM(orders[[#This Row],[Order Date]])</f>
        <v>11</v>
      </c>
      <c r="O1860" t="str" cm="1">
        <f t="array" ref="O1860">_xlfn.IFS(orders[[#This Row],[Customer Gender]] = "M", "Male",orders[[#This Row],[Customer Gender]] = "F", "Female",orders[[#This Row],[Customer Gender]] = "O", "Others",TRUE,"Unknown")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 - orders[[#This Row],[Order Date]]</f>
        <v>0</v>
      </c>
      <c r="N1861">
        <f>WEEKNUM(orders[[#This Row],[Order Date]])</f>
        <v>11</v>
      </c>
      <c r="O1861" t="str" cm="1">
        <f t="array" ref="O1861">_xlfn.IFS(orders[[#This Row],[Customer Gender]] = "M", "Male",orders[[#This Row],[Customer Gender]] = "F", "Female",orders[[#This Row],[Customer Gender]] = "O", "Others",TRUE,"Unknown")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 - orders[[#This Row],[Order Date]]</f>
        <v>1</v>
      </c>
      <c r="N1862">
        <f>WEEKNUM(orders[[#This Row],[Order Date]])</f>
        <v>11</v>
      </c>
      <c r="O1862" t="str" cm="1">
        <f t="array" ref="O1862">_xlfn.IFS(orders[[#This Row],[Customer Gender]] = "M", "Male",orders[[#This Row],[Customer Gender]] = "F", "Female",orders[[#This Row],[Customer Gender]] = "O", "Others",TRUE,"Unknown")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 - orders[[#This Row],[Order Date]]</f>
        <v>2</v>
      </c>
      <c r="N1863">
        <f>WEEKNUM(orders[[#This Row],[Order Date]])</f>
        <v>11</v>
      </c>
      <c r="O1863" t="str" cm="1">
        <f t="array" ref="O1863">_xlfn.IFS(orders[[#This Row],[Customer Gender]] = "M", "Male",orders[[#This Row],[Customer Gender]] = "F", "Female",orders[[#This Row],[Customer Gender]] = "O", "Others",TRUE,"Unknown")</f>
        <v>Others</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 - orders[[#This Row],[Order Date]]</f>
        <v>1</v>
      </c>
      <c r="N1864">
        <f>WEEKNUM(orders[[#This Row],[Order Date]])</f>
        <v>11</v>
      </c>
      <c r="O1864" t="str" cm="1">
        <f t="array" ref="O1864">_xlfn.IFS(orders[[#This Row],[Customer Gender]] = "M", "Male",orders[[#This Row],[Customer Gender]] = "F", "Female",orders[[#This Row],[Customer Gender]] = "O", "Others",TRUE,"Unknown")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 - orders[[#This Row],[Order Date]]</f>
        <v>2</v>
      </c>
      <c r="N1865">
        <f>WEEKNUM(orders[[#This Row],[Order Date]])</f>
        <v>11</v>
      </c>
      <c r="O1865" t="str" cm="1">
        <f t="array" ref="O1865">_xlfn.IFS(orders[[#This Row],[Customer Gender]] = "M", "Male",orders[[#This Row],[Customer Gender]] = "F", "Female",orders[[#This Row],[Customer Gender]] = "O", "Others",TRUE,"Unknown")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 - orders[[#This Row],[Order Date]]</f>
        <v>2</v>
      </c>
      <c r="N1866">
        <f>WEEKNUM(orders[[#This Row],[Order Date]])</f>
        <v>11</v>
      </c>
      <c r="O1866" t="str" cm="1">
        <f t="array" ref="O1866">_xlfn.IFS(orders[[#This Row],[Customer Gender]] = "M", "Male",orders[[#This Row],[Customer Gender]] = "F", "Female",orders[[#This Row],[Customer Gender]] = "O", "Others",TRUE,"Unknown")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 - orders[[#This Row],[Order Date]]</f>
        <v>2</v>
      </c>
      <c r="N1867">
        <f>WEEKNUM(orders[[#This Row],[Order Date]])</f>
        <v>11</v>
      </c>
      <c r="O1867" t="str" cm="1">
        <f t="array" ref="O1867">_xlfn.IFS(orders[[#This Row],[Customer Gender]] = "M", "Male",orders[[#This Row],[Customer Gender]] = "F", "Female",orders[[#This Row],[Customer Gender]] = "O", "Others",TRUE,"Unknown")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 - orders[[#This Row],[Order Date]]</f>
        <v>0</v>
      </c>
      <c r="N1868">
        <f>WEEKNUM(orders[[#This Row],[Order Date]])</f>
        <v>11</v>
      </c>
      <c r="O1868" t="str" cm="1">
        <f t="array" ref="O1868">_xlfn.IFS(orders[[#This Row],[Customer Gender]] = "M", "Male",orders[[#This Row],[Customer Gender]] = "F", "Female",orders[[#This Row],[Customer Gender]] = "O", "Others",TRUE,"Unknown")</f>
        <v>Others</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 - orders[[#This Row],[Order Date]]</f>
        <v>1</v>
      </c>
      <c r="N1869">
        <f>WEEKNUM(orders[[#This Row],[Order Date]])</f>
        <v>11</v>
      </c>
      <c r="O1869" t="str" cm="1">
        <f t="array" ref="O1869">_xlfn.IFS(orders[[#This Row],[Customer Gender]] = "M", "Male",orders[[#This Row],[Customer Gender]] = "F", "Female",orders[[#This Row],[Customer Gender]] = "O", "Others",TRUE,"Unknown")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 - orders[[#This Row],[Order Date]]</f>
        <v>1</v>
      </c>
      <c r="N1870">
        <f>WEEKNUM(orders[[#This Row],[Order Date]])</f>
        <v>11</v>
      </c>
      <c r="O1870" t="str" cm="1">
        <f t="array" ref="O1870">_xlfn.IFS(orders[[#This Row],[Customer Gender]] = "M", "Male",orders[[#This Row],[Customer Gender]] = "F", "Female",orders[[#This Row],[Customer Gender]] = "O", "Others",TRUE,"Unknown")</f>
        <v>Others</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 - orders[[#This Row],[Order Date]]</f>
        <v>0</v>
      </c>
      <c r="N1871">
        <f>WEEKNUM(orders[[#This Row],[Order Date]])</f>
        <v>11</v>
      </c>
      <c r="O1871" t="str" cm="1">
        <f t="array" ref="O1871">_xlfn.IFS(orders[[#This Row],[Customer Gender]] = "M", "Male",orders[[#This Row],[Customer Gender]] = "F", "Female",orders[[#This Row],[Customer Gender]] = "O", "Others",TRUE,"Unknown")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 - orders[[#This Row],[Order Date]]</f>
        <v>3</v>
      </c>
      <c r="N1872">
        <f>WEEKNUM(orders[[#This Row],[Order Date]])</f>
        <v>11</v>
      </c>
      <c r="O1872" t="str" cm="1">
        <f t="array" ref="O1872">_xlfn.IFS(orders[[#This Row],[Customer Gender]] = "M", "Male",orders[[#This Row],[Customer Gender]] = "F", "Female",orders[[#This Row],[Customer Gender]] = "O", "Others",TRUE,"Unknown")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 - orders[[#This Row],[Order Date]]</f>
        <v>2</v>
      </c>
      <c r="N1873">
        <f>WEEKNUM(orders[[#This Row],[Order Date]])</f>
        <v>11</v>
      </c>
      <c r="O1873" t="str" cm="1">
        <f t="array" ref="O1873">_xlfn.IFS(orders[[#This Row],[Customer Gender]] = "M", "Male",orders[[#This Row],[Customer Gender]] = "F", "Female",orders[[#This Row],[Customer Gender]] = "O", "Others",TRUE,"Unknown")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 - orders[[#This Row],[Order Date]]</f>
        <v>1</v>
      </c>
      <c r="N1874">
        <f>WEEKNUM(orders[[#This Row],[Order Date]])</f>
        <v>11</v>
      </c>
      <c r="O1874" t="str" cm="1">
        <f t="array" ref="O1874">_xlfn.IFS(orders[[#This Row],[Customer Gender]] = "M", "Male",orders[[#This Row],[Customer Gender]] = "F", "Female",orders[[#This Row],[Customer Gender]] = "O", "Others",TRUE,"Unknown")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 - orders[[#This Row],[Order Date]]</f>
        <v>2</v>
      </c>
      <c r="N1875">
        <f>WEEKNUM(orders[[#This Row],[Order Date]])</f>
        <v>11</v>
      </c>
      <c r="O1875" t="str" cm="1">
        <f t="array" ref="O1875">_xlfn.IFS(orders[[#This Row],[Customer Gender]] = "M", "Male",orders[[#This Row],[Customer Gender]] = "F", "Female",orders[[#This Row],[Customer Gender]] = "O", "Others",TRUE,"Unknown")</f>
        <v>Others</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 - orders[[#This Row],[Order Date]]</f>
        <v>2</v>
      </c>
      <c r="N1876">
        <f>WEEKNUM(orders[[#This Row],[Order Date]])</f>
        <v>11</v>
      </c>
      <c r="O1876" t="str" cm="1">
        <f t="array" ref="O1876">_xlfn.IFS(orders[[#This Row],[Customer Gender]] = "M", "Male",orders[[#This Row],[Customer Gender]] = "F", "Female",orders[[#This Row],[Customer Gender]] = "O", "Others",TRUE,"Unknown")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 - orders[[#This Row],[Order Date]]</f>
        <v>5</v>
      </c>
      <c r="N1877">
        <f>WEEKNUM(orders[[#This Row],[Order Date]])</f>
        <v>11</v>
      </c>
      <c r="O1877" t="str" cm="1">
        <f t="array" ref="O1877">_xlfn.IFS(orders[[#This Row],[Customer Gender]] = "M", "Male",orders[[#This Row],[Customer Gender]] = "F", "Female",orders[[#This Row],[Customer Gender]] = "O", "Others",TRUE,"Unknown")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 - orders[[#This Row],[Order Date]]</f>
        <v>1</v>
      </c>
      <c r="N1878">
        <f>WEEKNUM(orders[[#This Row],[Order Date]])</f>
        <v>11</v>
      </c>
      <c r="O1878" t="str" cm="1">
        <f t="array" ref="O1878">_xlfn.IFS(orders[[#This Row],[Customer Gender]] = "M", "Male",orders[[#This Row],[Customer Gender]] = "F", "Female",orders[[#This Row],[Customer Gender]] = "O", "Others",TRUE,"Unknown")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 - orders[[#This Row],[Order Date]]</f>
        <v>2</v>
      </c>
      <c r="N1879">
        <f>WEEKNUM(orders[[#This Row],[Order Date]])</f>
        <v>11</v>
      </c>
      <c r="O1879" t="str" cm="1">
        <f t="array" ref="O1879">_xlfn.IFS(orders[[#This Row],[Customer Gender]] = "M", "Male",orders[[#This Row],[Customer Gender]] = "F", "Female",orders[[#This Row],[Customer Gender]] = "O", "Others",TRUE,"Unknown")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 - orders[[#This Row],[Order Date]]</f>
        <v>1</v>
      </c>
      <c r="N1880">
        <f>WEEKNUM(orders[[#This Row],[Order Date]])</f>
        <v>11</v>
      </c>
      <c r="O1880" t="str" cm="1">
        <f t="array" ref="O1880">_xlfn.IFS(orders[[#This Row],[Customer Gender]] = "M", "Male",orders[[#This Row],[Customer Gender]] = "F", "Female",orders[[#This Row],[Customer Gender]] = "O", "Others",TRUE,"Unknown")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 - orders[[#This Row],[Order Date]]</f>
        <v>1</v>
      </c>
      <c r="N1881">
        <f>WEEKNUM(orders[[#This Row],[Order Date]])</f>
        <v>11</v>
      </c>
      <c r="O1881" t="str" cm="1">
        <f t="array" ref="O1881">_xlfn.IFS(orders[[#This Row],[Customer Gender]] = "M", "Male",orders[[#This Row],[Customer Gender]] = "F", "Female",orders[[#This Row],[Customer Gender]] = "O", "Others",TRUE,"Unknown")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 - orders[[#This Row],[Order Date]]</f>
        <v>1</v>
      </c>
      <c r="N1882">
        <f>WEEKNUM(orders[[#This Row],[Order Date]])</f>
        <v>11</v>
      </c>
      <c r="O1882" t="str" cm="1">
        <f t="array" ref="O1882">_xlfn.IFS(orders[[#This Row],[Customer Gender]] = "M", "Male",orders[[#This Row],[Customer Gender]] = "F", "Female",orders[[#This Row],[Customer Gender]] = "O", "Others",TRUE,"Unknown")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 - orders[[#This Row],[Order Date]]</f>
        <v>2</v>
      </c>
      <c r="N1883">
        <f>WEEKNUM(orders[[#This Row],[Order Date]])</f>
        <v>11</v>
      </c>
      <c r="O1883" t="str" cm="1">
        <f t="array" ref="O1883">_xlfn.IFS(orders[[#This Row],[Customer Gender]] = "M", "Male",orders[[#This Row],[Customer Gender]] = "F", "Female",orders[[#This Row],[Customer Gender]] = "O", "Others",TRUE,"Unknown")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 - orders[[#This Row],[Order Date]]</f>
        <v>2</v>
      </c>
      <c r="N1884">
        <f>WEEKNUM(orders[[#This Row],[Order Date]])</f>
        <v>11</v>
      </c>
      <c r="O1884" t="str" cm="1">
        <f t="array" ref="O1884">_xlfn.IFS(orders[[#This Row],[Customer Gender]] = "M", "Male",orders[[#This Row],[Customer Gender]] = "F", "Female",orders[[#This Row],[Customer Gender]] = "O", "Others",TRUE,"Unknown")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 - orders[[#This Row],[Order Date]]</f>
        <v>3</v>
      </c>
      <c r="N1885">
        <f>WEEKNUM(orders[[#This Row],[Order Date]])</f>
        <v>11</v>
      </c>
      <c r="O1885" t="str" cm="1">
        <f t="array" ref="O1885">_xlfn.IFS(orders[[#This Row],[Customer Gender]] = "M", "Male",orders[[#This Row],[Customer Gender]] = "F", "Female",orders[[#This Row],[Customer Gender]] = "O", "Others",TRUE,"Unknown")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 - orders[[#This Row],[Order Date]]</f>
        <v>14</v>
      </c>
      <c r="N1886">
        <f>WEEKNUM(orders[[#This Row],[Order Date]])</f>
        <v>11</v>
      </c>
      <c r="O1886" t="str" cm="1">
        <f t="array" ref="O1886">_xlfn.IFS(orders[[#This Row],[Customer Gender]] = "M", "Male",orders[[#This Row],[Customer Gender]] = "F", "Female",orders[[#This Row],[Customer Gender]] = "O", "Others",TRUE,"Unknown")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 - orders[[#This Row],[Order Date]]</f>
        <v>1</v>
      </c>
      <c r="N1887">
        <f>WEEKNUM(orders[[#This Row],[Order Date]])</f>
        <v>11</v>
      </c>
      <c r="O1887" t="str" cm="1">
        <f t="array" ref="O1887">_xlfn.IFS(orders[[#This Row],[Customer Gender]] = "M", "Male",orders[[#This Row],[Customer Gender]] = "F", "Female",orders[[#This Row],[Customer Gender]] = "O", "Others",TRUE,"Unknown")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 - orders[[#This Row],[Order Date]]</f>
        <v>3</v>
      </c>
      <c r="N1888">
        <f>WEEKNUM(orders[[#This Row],[Order Date]])</f>
        <v>11</v>
      </c>
      <c r="O1888" t="str" cm="1">
        <f t="array" ref="O1888">_xlfn.IFS(orders[[#This Row],[Customer Gender]] = "M", "Male",orders[[#This Row],[Customer Gender]] = "F", "Female",orders[[#This Row],[Customer Gender]] = "O", "Others",TRUE,"Unknown")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 - orders[[#This Row],[Order Date]]</f>
        <v>2</v>
      </c>
      <c r="N1889">
        <f>WEEKNUM(orders[[#This Row],[Order Date]])</f>
        <v>11</v>
      </c>
      <c r="O1889" t="str" cm="1">
        <f t="array" ref="O1889">_xlfn.IFS(orders[[#This Row],[Customer Gender]] = "M", "Male",orders[[#This Row],[Customer Gender]] = "F", "Female",orders[[#This Row],[Customer Gender]] = "O", "Others",TRUE,"Unknown")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 - orders[[#This Row],[Order Date]]</f>
        <v>3</v>
      </c>
      <c r="N1890">
        <f>WEEKNUM(orders[[#This Row],[Order Date]])</f>
        <v>11</v>
      </c>
      <c r="O1890" t="str" cm="1">
        <f t="array" ref="O1890">_xlfn.IFS(orders[[#This Row],[Customer Gender]] = "M", "Male",orders[[#This Row],[Customer Gender]] = "F", "Female",orders[[#This Row],[Customer Gender]] = "O", "Others",TRUE,"Unknown")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 - orders[[#This Row],[Order Date]]</f>
        <v>1</v>
      </c>
      <c r="N1891">
        <f>WEEKNUM(orders[[#This Row],[Order Date]])</f>
        <v>11</v>
      </c>
      <c r="O1891" t="str" cm="1">
        <f t="array" ref="O1891">_xlfn.IFS(orders[[#This Row],[Customer Gender]] = "M", "Male",orders[[#This Row],[Customer Gender]] = "F", "Female",orders[[#This Row],[Customer Gender]] = "O", "Others",TRUE,"Unknown")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 - orders[[#This Row],[Order Date]]</f>
        <v>2</v>
      </c>
      <c r="N1892">
        <f>WEEKNUM(orders[[#This Row],[Order Date]])</f>
        <v>11</v>
      </c>
      <c r="O1892" t="str" cm="1">
        <f t="array" ref="O1892">_xlfn.IFS(orders[[#This Row],[Customer Gender]] = "M", "Male",orders[[#This Row],[Customer Gender]] = "F", "Female",orders[[#This Row],[Customer Gender]] = "O", "Others",TRUE,"Unknown")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 - orders[[#This Row],[Order Date]]</f>
        <v>6</v>
      </c>
      <c r="N1893">
        <f>WEEKNUM(orders[[#This Row],[Order Date]])</f>
        <v>11</v>
      </c>
      <c r="O1893" t="str" cm="1">
        <f t="array" ref="O1893">_xlfn.IFS(orders[[#This Row],[Customer Gender]] = "M", "Male",orders[[#This Row],[Customer Gender]] = "F", "Female",orders[[#This Row],[Customer Gender]] = "O", "Others",TRUE,"Unknown")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 - orders[[#This Row],[Order Date]]</f>
        <v>1</v>
      </c>
      <c r="N1894">
        <f>WEEKNUM(orders[[#This Row],[Order Date]])</f>
        <v>11</v>
      </c>
      <c r="O1894" t="str" cm="1">
        <f t="array" ref="O1894">_xlfn.IFS(orders[[#This Row],[Customer Gender]] = "M", "Male",orders[[#This Row],[Customer Gender]] = "F", "Female",orders[[#This Row],[Customer Gender]] = "O", "Others",TRUE,"Unknown")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 - orders[[#This Row],[Order Date]]</f>
        <v>2</v>
      </c>
      <c r="N1895">
        <f>WEEKNUM(orders[[#This Row],[Order Date]])</f>
        <v>11</v>
      </c>
      <c r="O1895" t="str" cm="1">
        <f t="array" ref="O1895">_xlfn.IFS(orders[[#This Row],[Customer Gender]] = "M", "Male",orders[[#This Row],[Customer Gender]] = "F", "Female",orders[[#This Row],[Customer Gender]] = "O", "Others",TRUE,"Unknown")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 - orders[[#This Row],[Order Date]]</f>
        <v>2</v>
      </c>
      <c r="N1896">
        <f>WEEKNUM(orders[[#This Row],[Order Date]])</f>
        <v>11</v>
      </c>
      <c r="O1896" t="str" cm="1">
        <f t="array" ref="O1896">_xlfn.IFS(orders[[#This Row],[Customer Gender]] = "M", "Male",orders[[#This Row],[Customer Gender]] = "F", "Female",orders[[#This Row],[Customer Gender]] = "O", "Others",TRUE,"Unknown")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 - orders[[#This Row],[Order Date]]</f>
        <v>1</v>
      </c>
      <c r="N1897">
        <f>WEEKNUM(orders[[#This Row],[Order Date]])</f>
        <v>11</v>
      </c>
      <c r="O1897" t="str" cm="1">
        <f t="array" ref="O1897">_xlfn.IFS(orders[[#This Row],[Customer Gender]] = "M", "Male",orders[[#This Row],[Customer Gender]] = "F", "Female",orders[[#This Row],[Customer Gender]] = "O", "Others",TRUE,"Unknown")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 - orders[[#This Row],[Order Date]]</f>
        <v>3</v>
      </c>
      <c r="N1898">
        <f>WEEKNUM(orders[[#This Row],[Order Date]])</f>
        <v>11</v>
      </c>
      <c r="O1898" t="str" cm="1">
        <f t="array" ref="O1898">_xlfn.IFS(orders[[#This Row],[Customer Gender]] = "M", "Male",orders[[#This Row],[Customer Gender]] = "F", "Female",orders[[#This Row],[Customer Gender]] = "O", "Others",TRUE,"Unknown")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 - orders[[#This Row],[Order Date]]</f>
        <v>3</v>
      </c>
      <c r="N1899">
        <f>WEEKNUM(orders[[#This Row],[Order Date]])</f>
        <v>11</v>
      </c>
      <c r="O1899" t="str" cm="1">
        <f t="array" ref="O1899">_xlfn.IFS(orders[[#This Row],[Customer Gender]] = "M", "Male",orders[[#This Row],[Customer Gender]] = "F", "Female",orders[[#This Row],[Customer Gender]] = "O", "Others",TRUE,"Unknown")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 - orders[[#This Row],[Order Date]]</f>
        <v>13</v>
      </c>
      <c r="N1900">
        <f>WEEKNUM(orders[[#This Row],[Order Date]])</f>
        <v>11</v>
      </c>
      <c r="O1900" t="str" cm="1">
        <f t="array" ref="O1900">_xlfn.IFS(orders[[#This Row],[Customer Gender]] = "M", "Male",orders[[#This Row],[Customer Gender]] = "F", "Female",orders[[#This Row],[Customer Gender]] = "O", "Others",TRUE,"Unknown")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 - orders[[#This Row],[Order Date]]</f>
        <v>1</v>
      </c>
      <c r="N1901">
        <f>WEEKNUM(orders[[#This Row],[Order Date]])</f>
        <v>11</v>
      </c>
      <c r="O1901" t="str" cm="1">
        <f t="array" ref="O1901">_xlfn.IFS(orders[[#This Row],[Customer Gender]] = "M", "Male",orders[[#This Row],[Customer Gender]] = "F", "Female",orders[[#This Row],[Customer Gender]] = "O", "Others",TRUE,"Unknown")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 - orders[[#This Row],[Order Date]]</f>
        <v>0</v>
      </c>
      <c r="N1902">
        <f>WEEKNUM(orders[[#This Row],[Order Date]])</f>
        <v>11</v>
      </c>
      <c r="O1902" t="str" cm="1">
        <f t="array" ref="O1902">_xlfn.IFS(orders[[#This Row],[Customer Gender]] = "M", "Male",orders[[#This Row],[Customer Gender]] = "F", "Female",orders[[#This Row],[Customer Gender]] = "O", "Others",TRUE,"Unknown")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 - orders[[#This Row],[Order Date]]</f>
        <v>1</v>
      </c>
      <c r="N1903">
        <f>WEEKNUM(orders[[#This Row],[Order Date]])</f>
        <v>11</v>
      </c>
      <c r="O1903" t="str" cm="1">
        <f t="array" ref="O1903">_xlfn.IFS(orders[[#This Row],[Customer Gender]] = "M", "Male",orders[[#This Row],[Customer Gender]] = "F", "Female",orders[[#This Row],[Customer Gender]] = "O", "Others",TRUE,"Unknown")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 - orders[[#This Row],[Order Date]]</f>
        <v>1</v>
      </c>
      <c r="N1904">
        <f>WEEKNUM(orders[[#This Row],[Order Date]])</f>
        <v>11</v>
      </c>
      <c r="O1904" t="str" cm="1">
        <f t="array" ref="O1904">_xlfn.IFS(orders[[#This Row],[Customer Gender]] = "M", "Male",orders[[#This Row],[Customer Gender]] = "F", "Female",orders[[#This Row],[Customer Gender]] = "O", "Others",TRUE,"Unknown")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 - orders[[#This Row],[Order Date]]</f>
        <v>1</v>
      </c>
      <c r="N1905">
        <f>WEEKNUM(orders[[#This Row],[Order Date]])</f>
        <v>11</v>
      </c>
      <c r="O1905" t="str" cm="1">
        <f t="array" ref="O1905">_xlfn.IFS(orders[[#This Row],[Customer Gender]] = "M", "Male",orders[[#This Row],[Customer Gender]] = "F", "Female",orders[[#This Row],[Customer Gender]] = "O", "Others",TRUE,"Unknown")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 - orders[[#This Row],[Order Date]]</f>
        <v>1</v>
      </c>
      <c r="N1906">
        <f>WEEKNUM(orders[[#This Row],[Order Date]])</f>
        <v>11</v>
      </c>
      <c r="O1906" t="str" cm="1">
        <f t="array" ref="O1906">_xlfn.IFS(orders[[#This Row],[Customer Gender]] = "M", "Male",orders[[#This Row],[Customer Gender]] = "F", "Female",orders[[#This Row],[Customer Gender]] = "O", "Others",TRUE,"Unknown")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 - orders[[#This Row],[Order Date]]</f>
        <v>3</v>
      </c>
      <c r="N1907">
        <f>WEEKNUM(orders[[#This Row],[Order Date]])</f>
        <v>11</v>
      </c>
      <c r="O1907" t="str" cm="1">
        <f t="array" ref="O1907">_xlfn.IFS(orders[[#This Row],[Customer Gender]] = "M", "Male",orders[[#This Row],[Customer Gender]] = "F", "Female",orders[[#This Row],[Customer Gender]] = "O", "Others",TRUE,"Unknown")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 - orders[[#This Row],[Order Date]]</f>
        <v>2</v>
      </c>
      <c r="N1908">
        <f>WEEKNUM(orders[[#This Row],[Order Date]])</f>
        <v>11</v>
      </c>
      <c r="O1908" t="str" cm="1">
        <f t="array" ref="O1908">_xlfn.IFS(orders[[#This Row],[Customer Gender]] = "M", "Male",orders[[#This Row],[Customer Gender]] = "F", "Female",orders[[#This Row],[Customer Gender]] = "O", "Others",TRUE,"Unknown")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 - orders[[#This Row],[Order Date]]</f>
        <v>1</v>
      </c>
      <c r="N1909">
        <f>WEEKNUM(orders[[#This Row],[Order Date]])</f>
        <v>11</v>
      </c>
      <c r="O1909" t="str" cm="1">
        <f t="array" ref="O1909">_xlfn.IFS(orders[[#This Row],[Customer Gender]] = "M", "Male",orders[[#This Row],[Customer Gender]] = "F", "Female",orders[[#This Row],[Customer Gender]] = "O", "Others",TRUE,"Unknown")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 - orders[[#This Row],[Order Date]]</f>
        <v>3</v>
      </c>
      <c r="N1910">
        <f>WEEKNUM(orders[[#This Row],[Order Date]])</f>
        <v>11</v>
      </c>
      <c r="O1910" t="str" cm="1">
        <f t="array" ref="O1910">_xlfn.IFS(orders[[#This Row],[Customer Gender]] = "M", "Male",orders[[#This Row],[Customer Gender]] = "F", "Female",orders[[#This Row],[Customer Gender]] = "O", "Others",TRUE,"Unknown")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 - orders[[#This Row],[Order Date]]</f>
        <v>1</v>
      </c>
      <c r="N1911">
        <f>WEEKNUM(orders[[#This Row],[Order Date]])</f>
        <v>11</v>
      </c>
      <c r="O1911" t="str" cm="1">
        <f t="array" ref="O1911">_xlfn.IFS(orders[[#This Row],[Customer Gender]] = "M", "Male",orders[[#This Row],[Customer Gender]] = "F", "Female",orders[[#This Row],[Customer Gender]] = "O", "Others",TRUE,"Unknown")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 - orders[[#This Row],[Order Date]]</f>
        <v>1</v>
      </c>
      <c r="N1912">
        <f>WEEKNUM(orders[[#This Row],[Order Date]])</f>
        <v>11</v>
      </c>
      <c r="O1912" t="str" cm="1">
        <f t="array" ref="O1912">_xlfn.IFS(orders[[#This Row],[Customer Gender]] = "M", "Male",orders[[#This Row],[Customer Gender]] = "F", "Female",orders[[#This Row],[Customer Gender]] = "O", "Others",TRUE,"Unknown")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 - orders[[#This Row],[Order Date]]</f>
        <v>1</v>
      </c>
      <c r="N1913">
        <f>WEEKNUM(orders[[#This Row],[Order Date]])</f>
        <v>11</v>
      </c>
      <c r="O1913" t="str" cm="1">
        <f t="array" ref="O1913">_xlfn.IFS(orders[[#This Row],[Customer Gender]] = "M", "Male",orders[[#This Row],[Customer Gender]] = "F", "Female",orders[[#This Row],[Customer Gender]] = "O", "Others",TRUE,"Unknown")</f>
        <v>Others</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 - orders[[#This Row],[Order Date]]</f>
        <v>5</v>
      </c>
      <c r="N1914">
        <f>WEEKNUM(orders[[#This Row],[Order Date]])</f>
        <v>11</v>
      </c>
      <c r="O1914" t="str" cm="1">
        <f t="array" ref="O1914">_xlfn.IFS(orders[[#This Row],[Customer Gender]] = "M", "Male",orders[[#This Row],[Customer Gender]] = "F", "Female",orders[[#This Row],[Customer Gender]] = "O", "Others",TRUE,"Unknown")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 - orders[[#This Row],[Order Date]]</f>
        <v>5</v>
      </c>
      <c r="N1915">
        <f>WEEKNUM(orders[[#This Row],[Order Date]])</f>
        <v>11</v>
      </c>
      <c r="O1915" t="str" cm="1">
        <f t="array" ref="O1915">_xlfn.IFS(orders[[#This Row],[Customer Gender]] = "M", "Male",orders[[#This Row],[Customer Gender]] = "F", "Female",orders[[#This Row],[Customer Gender]] = "O", "Others",TRUE,"Unknown")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 - orders[[#This Row],[Order Date]]</f>
        <v>2</v>
      </c>
      <c r="N1916">
        <f>WEEKNUM(orders[[#This Row],[Order Date]])</f>
        <v>11</v>
      </c>
      <c r="O1916" t="str" cm="1">
        <f t="array" ref="O1916">_xlfn.IFS(orders[[#This Row],[Customer Gender]] = "M", "Male",orders[[#This Row],[Customer Gender]] = "F", "Female",orders[[#This Row],[Customer Gender]] = "O", "Others",TRUE,"Unknown")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 - orders[[#This Row],[Order Date]]</f>
        <v>0</v>
      </c>
      <c r="N1917">
        <f>WEEKNUM(orders[[#This Row],[Order Date]])</f>
        <v>11</v>
      </c>
      <c r="O1917" t="str" cm="1">
        <f t="array" ref="O1917">_xlfn.IFS(orders[[#This Row],[Customer Gender]] = "M", "Male",orders[[#This Row],[Customer Gender]] = "F", "Female",orders[[#This Row],[Customer Gender]] = "O", "Others",TRUE,"Unknown")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 - orders[[#This Row],[Order Date]]</f>
        <v>2</v>
      </c>
      <c r="N1918">
        <f>WEEKNUM(orders[[#This Row],[Order Date]])</f>
        <v>11</v>
      </c>
      <c r="O1918" t="str" cm="1">
        <f t="array" ref="O1918">_xlfn.IFS(orders[[#This Row],[Customer Gender]] = "M", "Male",orders[[#This Row],[Customer Gender]] = "F", "Female",orders[[#This Row],[Customer Gender]] = "O", "Others",TRUE,"Unknown")</f>
        <v>Others</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 - orders[[#This Row],[Order Date]]</f>
        <v>2</v>
      </c>
      <c r="N1919">
        <f>WEEKNUM(orders[[#This Row],[Order Date]])</f>
        <v>11</v>
      </c>
      <c r="O1919" t="str" cm="1">
        <f t="array" ref="O1919">_xlfn.IFS(orders[[#This Row],[Customer Gender]] = "M", "Male",orders[[#This Row],[Customer Gender]] = "F", "Female",orders[[#This Row],[Customer Gender]] = "O", "Others",TRUE,"Unknown")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 - orders[[#This Row],[Order Date]]</f>
        <v>3</v>
      </c>
      <c r="N1920">
        <f>WEEKNUM(orders[[#This Row],[Order Date]])</f>
        <v>11</v>
      </c>
      <c r="O1920" t="str" cm="1">
        <f t="array" ref="O1920">_xlfn.IFS(orders[[#This Row],[Customer Gender]] = "M", "Male",orders[[#This Row],[Customer Gender]] = "F", "Female",orders[[#This Row],[Customer Gender]] = "O", "Others",TRUE,"Unknown")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 - orders[[#This Row],[Order Date]]</f>
        <v>1</v>
      </c>
      <c r="N1921">
        <f>WEEKNUM(orders[[#This Row],[Order Date]])</f>
        <v>11</v>
      </c>
      <c r="O1921" t="str" cm="1">
        <f t="array" ref="O1921">_xlfn.IFS(orders[[#This Row],[Customer Gender]] = "M", "Male",orders[[#This Row],[Customer Gender]] = "F", "Female",orders[[#This Row],[Customer Gender]] = "O", "Others",TRUE,"Unknown")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 - orders[[#This Row],[Order Date]]</f>
        <v>1</v>
      </c>
      <c r="N1922">
        <f>WEEKNUM(orders[[#This Row],[Order Date]])</f>
        <v>11</v>
      </c>
      <c r="O1922" t="str" cm="1">
        <f t="array" ref="O1922">_xlfn.IFS(orders[[#This Row],[Customer Gender]] = "M", "Male",orders[[#This Row],[Customer Gender]] = "F", "Female",orders[[#This Row],[Customer Gender]] = "O", "Others",TRUE,"Unknown")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 - orders[[#This Row],[Order Date]]</f>
        <v>2</v>
      </c>
      <c r="N1923">
        <f>WEEKNUM(orders[[#This Row],[Order Date]])</f>
        <v>11</v>
      </c>
      <c r="O1923" t="str" cm="1">
        <f t="array" ref="O1923">_xlfn.IFS(orders[[#This Row],[Customer Gender]] = "M", "Male",orders[[#This Row],[Customer Gender]] = "F", "Female",orders[[#This Row],[Customer Gender]] = "O", "Others",TRUE,"Unknown")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 - orders[[#This Row],[Order Date]]</f>
        <v>1</v>
      </c>
      <c r="N1924">
        <f>WEEKNUM(orders[[#This Row],[Order Date]])</f>
        <v>11</v>
      </c>
      <c r="O1924" t="str" cm="1">
        <f t="array" ref="O1924">_xlfn.IFS(orders[[#This Row],[Customer Gender]] = "M", "Male",orders[[#This Row],[Customer Gender]] = "F", "Female",orders[[#This Row],[Customer Gender]] = "O", "Others",TRUE,"Unknown")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 - orders[[#This Row],[Order Date]]</f>
        <v>2</v>
      </c>
      <c r="N1925">
        <f>WEEKNUM(orders[[#This Row],[Order Date]])</f>
        <v>11</v>
      </c>
      <c r="O1925" t="str" cm="1">
        <f t="array" ref="O1925">_xlfn.IFS(orders[[#This Row],[Customer Gender]] = "M", "Male",orders[[#This Row],[Customer Gender]] = "F", "Female",orders[[#This Row],[Customer Gender]] = "O", "Others",TRUE,"Unknown")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 - orders[[#This Row],[Order Date]]</f>
        <v>3</v>
      </c>
      <c r="N1926">
        <f>WEEKNUM(orders[[#This Row],[Order Date]])</f>
        <v>11</v>
      </c>
      <c r="O1926" t="str" cm="1">
        <f t="array" ref="O1926">_xlfn.IFS(orders[[#This Row],[Customer Gender]] = "M", "Male",orders[[#This Row],[Customer Gender]] = "F", "Female",orders[[#This Row],[Customer Gender]] = "O", "Others",TRUE,"Unknown")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 - orders[[#This Row],[Order Date]]</f>
        <v>0</v>
      </c>
      <c r="N1927">
        <f>WEEKNUM(orders[[#This Row],[Order Date]])</f>
        <v>11</v>
      </c>
      <c r="O1927" t="str" cm="1">
        <f t="array" ref="O1927">_xlfn.IFS(orders[[#This Row],[Customer Gender]] = "M", "Male",orders[[#This Row],[Customer Gender]] = "F", "Female",orders[[#This Row],[Customer Gender]] = "O", "Others",TRUE,"Unknown")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 - orders[[#This Row],[Order Date]]</f>
        <v>0</v>
      </c>
      <c r="N1928">
        <f>WEEKNUM(orders[[#This Row],[Order Date]])</f>
        <v>11</v>
      </c>
      <c r="O1928" t="str" cm="1">
        <f t="array" ref="O1928">_xlfn.IFS(orders[[#This Row],[Customer Gender]] = "M", "Male",orders[[#This Row],[Customer Gender]] = "F", "Female",orders[[#This Row],[Customer Gender]] = "O", "Others",TRUE,"Unknown")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 - orders[[#This Row],[Order Date]]</f>
        <v>2</v>
      </c>
      <c r="N1929">
        <f>WEEKNUM(orders[[#This Row],[Order Date]])</f>
        <v>11</v>
      </c>
      <c r="O1929" t="str" cm="1">
        <f t="array" ref="O1929">_xlfn.IFS(orders[[#This Row],[Customer Gender]] = "M", "Male",orders[[#This Row],[Customer Gender]] = "F", "Female",orders[[#This Row],[Customer Gender]] = "O", "Others",TRUE,"Unknown")</f>
        <v>Others</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 - orders[[#This Row],[Order Date]]</f>
        <v>8</v>
      </c>
      <c r="N1930">
        <f>WEEKNUM(orders[[#This Row],[Order Date]])</f>
        <v>11</v>
      </c>
      <c r="O1930" t="str" cm="1">
        <f t="array" ref="O1930">_xlfn.IFS(orders[[#This Row],[Customer Gender]] = "M", "Male",orders[[#This Row],[Customer Gender]] = "F", "Female",orders[[#This Row],[Customer Gender]] = "O", "Others",TRUE,"Unknown")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 - orders[[#This Row],[Order Date]]</f>
        <v>3</v>
      </c>
      <c r="N1931">
        <f>WEEKNUM(orders[[#This Row],[Order Date]])</f>
        <v>11</v>
      </c>
      <c r="O1931" t="str" cm="1">
        <f t="array" ref="O1931">_xlfn.IFS(orders[[#This Row],[Customer Gender]] = "M", "Male",orders[[#This Row],[Customer Gender]] = "F", "Female",orders[[#This Row],[Customer Gender]] = "O", "Others",TRUE,"Unknown")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 - orders[[#This Row],[Order Date]]</f>
        <v>4</v>
      </c>
      <c r="N1932">
        <f>WEEKNUM(orders[[#This Row],[Order Date]])</f>
        <v>11</v>
      </c>
      <c r="O1932" t="str" cm="1">
        <f t="array" ref="O1932">_xlfn.IFS(orders[[#This Row],[Customer Gender]] = "M", "Male",orders[[#This Row],[Customer Gender]] = "F", "Female",orders[[#This Row],[Customer Gender]] = "O", "Others",TRUE,"Unknown")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 - orders[[#This Row],[Order Date]]</f>
        <v>2</v>
      </c>
      <c r="N1933">
        <f>WEEKNUM(orders[[#This Row],[Order Date]])</f>
        <v>11</v>
      </c>
      <c r="O1933" t="str" cm="1">
        <f t="array" ref="O1933">_xlfn.IFS(orders[[#This Row],[Customer Gender]] = "M", "Male",orders[[#This Row],[Customer Gender]] = "F", "Female",orders[[#This Row],[Customer Gender]] = "O", "Others",TRUE,"Unknown")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 - orders[[#This Row],[Order Date]]</f>
        <v>1</v>
      </c>
      <c r="N1934">
        <f>WEEKNUM(orders[[#This Row],[Order Date]])</f>
        <v>11</v>
      </c>
      <c r="O1934" t="str" cm="1">
        <f t="array" ref="O1934">_xlfn.IFS(orders[[#This Row],[Customer Gender]] = "M", "Male",orders[[#This Row],[Customer Gender]] = "F", "Female",orders[[#This Row],[Customer Gender]] = "O", "Others",TRUE,"Unknown")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 - orders[[#This Row],[Order Date]]</f>
        <v>1</v>
      </c>
      <c r="N1935">
        <f>WEEKNUM(orders[[#This Row],[Order Date]])</f>
        <v>11</v>
      </c>
      <c r="O1935" t="str" cm="1">
        <f t="array" ref="O1935">_xlfn.IFS(orders[[#This Row],[Customer Gender]] = "M", "Male",orders[[#This Row],[Customer Gender]] = "F", "Female",orders[[#This Row],[Customer Gender]] = "O", "Others",TRUE,"Unknown")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 - orders[[#This Row],[Order Date]]</f>
        <v>3</v>
      </c>
      <c r="N1936">
        <f>WEEKNUM(orders[[#This Row],[Order Date]])</f>
        <v>11</v>
      </c>
      <c r="O1936" t="str" cm="1">
        <f t="array" ref="O1936">_xlfn.IFS(orders[[#This Row],[Customer Gender]] = "M", "Male",orders[[#This Row],[Customer Gender]] = "F", "Female",orders[[#This Row],[Customer Gender]] = "O", "Others",TRUE,"Unknown")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 - orders[[#This Row],[Order Date]]</f>
        <v>1</v>
      </c>
      <c r="N1937">
        <f>WEEKNUM(orders[[#This Row],[Order Date]])</f>
        <v>11</v>
      </c>
      <c r="O1937" t="str" cm="1">
        <f t="array" ref="O1937">_xlfn.IFS(orders[[#This Row],[Customer Gender]] = "M", "Male",orders[[#This Row],[Customer Gender]] = "F", "Female",orders[[#This Row],[Customer Gender]] = "O", "Others",TRUE,"Unknown")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 - orders[[#This Row],[Order Date]]</f>
        <v>5</v>
      </c>
      <c r="N1938">
        <f>WEEKNUM(orders[[#This Row],[Order Date]])</f>
        <v>11</v>
      </c>
      <c r="O1938" t="str" cm="1">
        <f t="array" ref="O1938">_xlfn.IFS(orders[[#This Row],[Customer Gender]] = "M", "Male",orders[[#This Row],[Customer Gender]] = "F", "Female",orders[[#This Row],[Customer Gender]] = "O", "Others",TRUE,"Unknown")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 - orders[[#This Row],[Order Date]]</f>
        <v>0</v>
      </c>
      <c r="N1939">
        <f>WEEKNUM(orders[[#This Row],[Order Date]])</f>
        <v>11</v>
      </c>
      <c r="O1939" t="str" cm="1">
        <f t="array" ref="O1939">_xlfn.IFS(orders[[#This Row],[Customer Gender]] = "M", "Male",orders[[#This Row],[Customer Gender]] = "F", "Female",orders[[#This Row],[Customer Gender]] = "O", "Others",TRUE,"Unknown")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 - orders[[#This Row],[Order Date]]</f>
        <v>1</v>
      </c>
      <c r="N1940">
        <f>WEEKNUM(orders[[#This Row],[Order Date]])</f>
        <v>11</v>
      </c>
      <c r="O1940" t="str" cm="1">
        <f t="array" ref="O1940">_xlfn.IFS(orders[[#This Row],[Customer Gender]] = "M", "Male",orders[[#This Row],[Customer Gender]] = "F", "Female",orders[[#This Row],[Customer Gender]] = "O", "Others",TRUE,"Unknown")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 - orders[[#This Row],[Order Date]]</f>
        <v>1</v>
      </c>
      <c r="N1941">
        <f>WEEKNUM(orders[[#This Row],[Order Date]])</f>
        <v>11</v>
      </c>
      <c r="O1941" t="str" cm="1">
        <f t="array" ref="O1941">_xlfn.IFS(orders[[#This Row],[Customer Gender]] = "M", "Male",orders[[#This Row],[Customer Gender]] = "F", "Female",orders[[#This Row],[Customer Gender]] = "O", "Others",TRUE,"Unknown")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 - orders[[#This Row],[Order Date]]</f>
        <v>1</v>
      </c>
      <c r="N1942">
        <f>WEEKNUM(orders[[#This Row],[Order Date]])</f>
        <v>11</v>
      </c>
      <c r="O1942" t="str" cm="1">
        <f t="array" ref="O1942">_xlfn.IFS(orders[[#This Row],[Customer Gender]] = "M", "Male",orders[[#This Row],[Customer Gender]] = "F", "Female",orders[[#This Row],[Customer Gender]] = "O", "Others",TRUE,"Unknown")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 - orders[[#This Row],[Order Date]]</f>
        <v>1</v>
      </c>
      <c r="N1943">
        <f>WEEKNUM(orders[[#This Row],[Order Date]])</f>
        <v>11</v>
      </c>
      <c r="O1943" t="str" cm="1">
        <f t="array" ref="O1943">_xlfn.IFS(orders[[#This Row],[Customer Gender]] = "M", "Male",orders[[#This Row],[Customer Gender]] = "F", "Female",orders[[#This Row],[Customer Gender]] = "O", "Others",TRUE,"Unknown")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 - orders[[#This Row],[Order Date]]</f>
        <v>6</v>
      </c>
      <c r="N1944">
        <f>WEEKNUM(orders[[#This Row],[Order Date]])</f>
        <v>11</v>
      </c>
      <c r="O1944" t="str" cm="1">
        <f t="array" ref="O1944">_xlfn.IFS(orders[[#This Row],[Customer Gender]] = "M", "Male",orders[[#This Row],[Customer Gender]] = "F", "Female",orders[[#This Row],[Customer Gender]] = "O", "Others",TRUE,"Unknown")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 - orders[[#This Row],[Order Date]]</f>
        <v>3</v>
      </c>
      <c r="N1945">
        <f>WEEKNUM(orders[[#This Row],[Order Date]])</f>
        <v>11</v>
      </c>
      <c r="O1945" t="str" cm="1">
        <f t="array" ref="O1945">_xlfn.IFS(orders[[#This Row],[Customer Gender]] = "M", "Male",orders[[#This Row],[Customer Gender]] = "F", "Female",orders[[#This Row],[Customer Gender]] = "O", "Others",TRUE,"Unknown")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 - orders[[#This Row],[Order Date]]</f>
        <v>3</v>
      </c>
      <c r="N1946">
        <f>WEEKNUM(orders[[#This Row],[Order Date]])</f>
        <v>11</v>
      </c>
      <c r="O1946" t="str" cm="1">
        <f t="array" ref="O1946">_xlfn.IFS(orders[[#This Row],[Customer Gender]] = "M", "Male",orders[[#This Row],[Customer Gender]] = "F", "Female",orders[[#This Row],[Customer Gender]] = "O", "Others",TRUE,"Unknown")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 - orders[[#This Row],[Order Date]]</f>
        <v>11</v>
      </c>
      <c r="N1947">
        <f>WEEKNUM(orders[[#This Row],[Order Date]])</f>
        <v>11</v>
      </c>
      <c r="O1947" t="str" cm="1">
        <f t="array" ref="O1947">_xlfn.IFS(orders[[#This Row],[Customer Gender]] = "M", "Male",orders[[#This Row],[Customer Gender]] = "F", "Female",orders[[#This Row],[Customer Gender]] = "O", "Others",TRUE,"Unknown")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 - orders[[#This Row],[Order Date]]</f>
        <v>1</v>
      </c>
      <c r="N1948">
        <f>WEEKNUM(orders[[#This Row],[Order Date]])</f>
        <v>11</v>
      </c>
      <c r="O1948" t="str" cm="1">
        <f t="array" ref="O1948">_xlfn.IFS(orders[[#This Row],[Customer Gender]] = "M", "Male",orders[[#This Row],[Customer Gender]] = "F", "Female",orders[[#This Row],[Customer Gender]] = "O", "Others",TRUE,"Unknown")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 - orders[[#This Row],[Order Date]]</f>
        <v>2</v>
      </c>
      <c r="N1949">
        <f>WEEKNUM(orders[[#This Row],[Order Date]])</f>
        <v>11</v>
      </c>
      <c r="O1949" t="str" cm="1">
        <f t="array" ref="O1949">_xlfn.IFS(orders[[#This Row],[Customer Gender]] = "M", "Male",orders[[#This Row],[Customer Gender]] = "F", "Female",orders[[#This Row],[Customer Gender]] = "O", "Others",TRUE,"Unknown")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 - orders[[#This Row],[Order Date]]</f>
        <v>2</v>
      </c>
      <c r="N1950">
        <f>WEEKNUM(orders[[#This Row],[Order Date]])</f>
        <v>11</v>
      </c>
      <c r="O1950" t="str" cm="1">
        <f t="array" ref="O1950">_xlfn.IFS(orders[[#This Row],[Customer Gender]] = "M", "Male",orders[[#This Row],[Customer Gender]] = "F", "Female",orders[[#This Row],[Customer Gender]] = "O", "Others",TRUE,"Unknown")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 - orders[[#This Row],[Order Date]]</f>
        <v>2</v>
      </c>
      <c r="N1951">
        <f>WEEKNUM(orders[[#This Row],[Order Date]])</f>
        <v>11</v>
      </c>
      <c r="O1951" t="str" cm="1">
        <f t="array" ref="O1951">_xlfn.IFS(orders[[#This Row],[Customer Gender]] = "M", "Male",orders[[#This Row],[Customer Gender]] = "F", "Female",orders[[#This Row],[Customer Gender]] = "O", "Others",TRUE,"Unknown")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 - orders[[#This Row],[Order Date]]</f>
        <v>1</v>
      </c>
      <c r="N1952">
        <f>WEEKNUM(orders[[#This Row],[Order Date]])</f>
        <v>11</v>
      </c>
      <c r="O1952" t="str" cm="1">
        <f t="array" ref="O1952">_xlfn.IFS(orders[[#This Row],[Customer Gender]] = "M", "Male",orders[[#This Row],[Customer Gender]] = "F", "Female",orders[[#This Row],[Customer Gender]] = "O", "Others",TRUE,"Unknown")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 - orders[[#This Row],[Order Date]]</f>
        <v>2</v>
      </c>
      <c r="N1953">
        <f>WEEKNUM(orders[[#This Row],[Order Date]])</f>
        <v>11</v>
      </c>
      <c r="O1953" t="str" cm="1">
        <f t="array" ref="O1953">_xlfn.IFS(orders[[#This Row],[Customer Gender]] = "M", "Male",orders[[#This Row],[Customer Gender]] = "F", "Female",orders[[#This Row],[Customer Gender]] = "O", "Others",TRUE,"Unknown")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 - orders[[#This Row],[Order Date]]</f>
        <v>1</v>
      </c>
      <c r="N1954">
        <f>WEEKNUM(orders[[#This Row],[Order Date]])</f>
        <v>11</v>
      </c>
      <c r="O1954" t="str" cm="1">
        <f t="array" ref="O1954">_xlfn.IFS(orders[[#This Row],[Customer Gender]] = "M", "Male",orders[[#This Row],[Customer Gender]] = "F", "Female",orders[[#This Row],[Customer Gender]] = "O", "Others",TRUE,"Unknown")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 - orders[[#This Row],[Order Date]]</f>
        <v>3</v>
      </c>
      <c r="N1955">
        <f>WEEKNUM(orders[[#This Row],[Order Date]])</f>
        <v>11</v>
      </c>
      <c r="O1955" t="str" cm="1">
        <f t="array" ref="O1955">_xlfn.IFS(orders[[#This Row],[Customer Gender]] = "M", "Male",orders[[#This Row],[Customer Gender]] = "F", "Female",orders[[#This Row],[Customer Gender]] = "O", "Others",TRUE,"Unknown")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 - orders[[#This Row],[Order Date]]</f>
        <v>2</v>
      </c>
      <c r="N1956">
        <f>WEEKNUM(orders[[#This Row],[Order Date]])</f>
        <v>11</v>
      </c>
      <c r="O1956" t="str" cm="1">
        <f t="array" ref="O1956">_xlfn.IFS(orders[[#This Row],[Customer Gender]] = "M", "Male",orders[[#This Row],[Customer Gender]] = "F", "Female",orders[[#This Row],[Customer Gender]] = "O", "Others",TRUE,"Unknown")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 - orders[[#This Row],[Order Date]]</f>
        <v>4</v>
      </c>
      <c r="N1957">
        <f>WEEKNUM(orders[[#This Row],[Order Date]])</f>
        <v>11</v>
      </c>
      <c r="O1957" t="str" cm="1">
        <f t="array" ref="O1957">_xlfn.IFS(orders[[#This Row],[Customer Gender]] = "M", "Male",orders[[#This Row],[Customer Gender]] = "F", "Female",orders[[#This Row],[Customer Gender]] = "O", "Others",TRUE,"Unknown")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 - orders[[#This Row],[Order Date]]</f>
        <v>2</v>
      </c>
      <c r="N1958">
        <f>WEEKNUM(orders[[#This Row],[Order Date]])</f>
        <v>11</v>
      </c>
      <c r="O1958" t="str" cm="1">
        <f t="array" ref="O1958">_xlfn.IFS(orders[[#This Row],[Customer Gender]] = "M", "Male",orders[[#This Row],[Customer Gender]] = "F", "Female",orders[[#This Row],[Customer Gender]] = "O", "Others",TRUE,"Unknown")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 - orders[[#This Row],[Order Date]]</f>
        <v>3</v>
      </c>
      <c r="N1959">
        <f>WEEKNUM(orders[[#This Row],[Order Date]])</f>
        <v>11</v>
      </c>
      <c r="O1959" t="str" cm="1">
        <f t="array" ref="O1959">_xlfn.IFS(orders[[#This Row],[Customer Gender]] = "M", "Male",orders[[#This Row],[Customer Gender]] = "F", "Female",orders[[#This Row],[Customer Gender]] = "O", "Others",TRUE,"Unknown")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 - orders[[#This Row],[Order Date]]</f>
        <v>2</v>
      </c>
      <c r="N1960">
        <f>WEEKNUM(orders[[#This Row],[Order Date]])</f>
        <v>11</v>
      </c>
      <c r="O1960" t="str" cm="1">
        <f t="array" ref="O1960">_xlfn.IFS(orders[[#This Row],[Customer Gender]] = "M", "Male",orders[[#This Row],[Customer Gender]] = "F", "Female",orders[[#This Row],[Customer Gender]] = "O", "Others",TRUE,"Unknown")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 - orders[[#This Row],[Order Date]]</f>
        <v>0</v>
      </c>
      <c r="N1961">
        <f>WEEKNUM(orders[[#This Row],[Order Date]])</f>
        <v>11</v>
      </c>
      <c r="O1961" t="str" cm="1">
        <f t="array" ref="O1961">_xlfn.IFS(orders[[#This Row],[Customer Gender]] = "M", "Male",orders[[#This Row],[Customer Gender]] = "F", "Female",orders[[#This Row],[Customer Gender]] = "O", "Others",TRUE,"Unknown")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 - orders[[#This Row],[Order Date]]</f>
        <v>1</v>
      </c>
      <c r="N1962">
        <f>WEEKNUM(orders[[#This Row],[Order Date]])</f>
        <v>11</v>
      </c>
      <c r="O1962" t="str" cm="1">
        <f t="array" ref="O1962">_xlfn.IFS(orders[[#This Row],[Customer Gender]] = "M", "Male",orders[[#This Row],[Customer Gender]] = "F", "Female",orders[[#This Row],[Customer Gender]] = "O", "Others",TRUE,"Unknown")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 - orders[[#This Row],[Order Date]]</f>
        <v>1</v>
      </c>
      <c r="N1963">
        <f>WEEKNUM(orders[[#This Row],[Order Date]])</f>
        <v>11</v>
      </c>
      <c r="O1963" t="str" cm="1">
        <f t="array" ref="O1963">_xlfn.IFS(orders[[#This Row],[Customer Gender]] = "M", "Male",orders[[#This Row],[Customer Gender]] = "F", "Female",orders[[#This Row],[Customer Gender]] = "O", "Others",TRUE,"Unknown")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 - orders[[#This Row],[Order Date]]</f>
        <v>1</v>
      </c>
      <c r="N1964">
        <f>WEEKNUM(orders[[#This Row],[Order Date]])</f>
        <v>11</v>
      </c>
      <c r="O1964" t="str" cm="1">
        <f t="array" ref="O1964">_xlfn.IFS(orders[[#This Row],[Customer Gender]] = "M", "Male",orders[[#This Row],[Customer Gender]] = "F", "Female",orders[[#This Row],[Customer Gender]] = "O", "Others",TRUE,"Unknown")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 - orders[[#This Row],[Order Date]]</f>
        <v>1</v>
      </c>
      <c r="N1965">
        <f>WEEKNUM(orders[[#This Row],[Order Date]])</f>
        <v>11</v>
      </c>
      <c r="O1965" t="str" cm="1">
        <f t="array" ref="O1965">_xlfn.IFS(orders[[#This Row],[Customer Gender]] = "M", "Male",orders[[#This Row],[Customer Gender]] = "F", "Female",orders[[#This Row],[Customer Gender]] = "O", "Others",TRUE,"Unknown")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 - orders[[#This Row],[Order Date]]</f>
        <v>1</v>
      </c>
      <c r="N1966">
        <f>WEEKNUM(orders[[#This Row],[Order Date]])</f>
        <v>11</v>
      </c>
      <c r="O1966" t="str" cm="1">
        <f t="array" ref="O1966">_xlfn.IFS(orders[[#This Row],[Customer Gender]] = "M", "Male",orders[[#This Row],[Customer Gender]] = "F", "Female",orders[[#This Row],[Customer Gender]] = "O", "Others",TRUE,"Unknown")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 - orders[[#This Row],[Order Date]]</f>
        <v>1</v>
      </c>
      <c r="N1967">
        <f>WEEKNUM(orders[[#This Row],[Order Date]])</f>
        <v>11</v>
      </c>
      <c r="O1967" t="str" cm="1">
        <f t="array" ref="O1967">_xlfn.IFS(orders[[#This Row],[Customer Gender]] = "M", "Male",orders[[#This Row],[Customer Gender]] = "F", "Female",orders[[#This Row],[Customer Gender]] = "O", "Others",TRUE,"Unknown")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 - orders[[#This Row],[Order Date]]</f>
        <v>1</v>
      </c>
      <c r="N1968">
        <f>WEEKNUM(orders[[#This Row],[Order Date]])</f>
        <v>11</v>
      </c>
      <c r="O1968" t="str" cm="1">
        <f t="array" ref="O1968">_xlfn.IFS(orders[[#This Row],[Customer Gender]] = "M", "Male",orders[[#This Row],[Customer Gender]] = "F", "Female",orders[[#This Row],[Customer Gender]] = "O", "Others",TRUE,"Unknown")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 - orders[[#This Row],[Order Date]]</f>
        <v>2</v>
      </c>
      <c r="N1969">
        <f>WEEKNUM(orders[[#This Row],[Order Date]])</f>
        <v>11</v>
      </c>
      <c r="O1969" t="str" cm="1">
        <f t="array" ref="O1969">_xlfn.IFS(orders[[#This Row],[Customer Gender]] = "M", "Male",orders[[#This Row],[Customer Gender]] = "F", "Female",orders[[#This Row],[Customer Gender]] = "O", "Others",TRUE,"Unknown")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 - orders[[#This Row],[Order Date]]</f>
        <v>8</v>
      </c>
      <c r="N1970">
        <f>WEEKNUM(orders[[#This Row],[Order Date]])</f>
        <v>11</v>
      </c>
      <c r="O1970" t="str" cm="1">
        <f t="array" ref="O1970">_xlfn.IFS(orders[[#This Row],[Customer Gender]] = "M", "Male",orders[[#This Row],[Customer Gender]] = "F", "Female",orders[[#This Row],[Customer Gender]] = "O", "Others",TRUE,"Unknown")</f>
        <v>Others</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 - orders[[#This Row],[Order Date]]</f>
        <v>2</v>
      </c>
      <c r="N1971">
        <f>WEEKNUM(orders[[#This Row],[Order Date]])</f>
        <v>11</v>
      </c>
      <c r="O1971" t="str" cm="1">
        <f t="array" ref="O1971">_xlfn.IFS(orders[[#This Row],[Customer Gender]] = "M", "Male",orders[[#This Row],[Customer Gender]] = "F", "Female",orders[[#This Row],[Customer Gender]] = "O", "Others",TRUE,"Unknown")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 - orders[[#This Row],[Order Date]]</f>
        <v>2</v>
      </c>
      <c r="N1972">
        <f>WEEKNUM(orders[[#This Row],[Order Date]])</f>
        <v>11</v>
      </c>
      <c r="O1972" t="str" cm="1">
        <f t="array" ref="O1972">_xlfn.IFS(orders[[#This Row],[Customer Gender]] = "M", "Male",orders[[#This Row],[Customer Gender]] = "F", "Female",orders[[#This Row],[Customer Gender]] = "O", "Others",TRUE,"Unknown")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 - orders[[#This Row],[Order Date]]</f>
        <v>1</v>
      </c>
      <c r="N1973">
        <f>WEEKNUM(orders[[#This Row],[Order Date]])</f>
        <v>11</v>
      </c>
      <c r="O1973" t="str" cm="1">
        <f t="array" ref="O1973">_xlfn.IFS(orders[[#This Row],[Customer Gender]] = "M", "Male",orders[[#This Row],[Customer Gender]] = "F", "Female",orders[[#This Row],[Customer Gender]] = "O", "Others",TRUE,"Unknown")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 - orders[[#This Row],[Order Date]]</f>
        <v>1</v>
      </c>
      <c r="N1974">
        <f>WEEKNUM(orders[[#This Row],[Order Date]])</f>
        <v>11</v>
      </c>
      <c r="O1974" t="str" cm="1">
        <f t="array" ref="O1974">_xlfn.IFS(orders[[#This Row],[Customer Gender]] = "M", "Male",orders[[#This Row],[Customer Gender]] = "F", "Female",orders[[#This Row],[Customer Gender]] = "O", "Others",TRUE,"Unknown")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 - orders[[#This Row],[Order Date]]</f>
        <v>4</v>
      </c>
      <c r="N1975">
        <f>WEEKNUM(orders[[#This Row],[Order Date]])</f>
        <v>11</v>
      </c>
      <c r="O1975" t="str" cm="1">
        <f t="array" ref="O1975">_xlfn.IFS(orders[[#This Row],[Customer Gender]] = "M", "Male",orders[[#This Row],[Customer Gender]] = "F", "Female",orders[[#This Row],[Customer Gender]] = "O", "Others",TRUE,"Unknown")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 - orders[[#This Row],[Order Date]]</f>
        <v>1</v>
      </c>
      <c r="N1976">
        <f>WEEKNUM(orders[[#This Row],[Order Date]])</f>
        <v>11</v>
      </c>
      <c r="O1976" t="str" cm="1">
        <f t="array" ref="O1976">_xlfn.IFS(orders[[#This Row],[Customer Gender]] = "M", "Male",orders[[#This Row],[Customer Gender]] = "F", "Female",orders[[#This Row],[Customer Gender]] = "O", "Others",TRUE,"Unknown")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 - orders[[#This Row],[Order Date]]</f>
        <v>2</v>
      </c>
      <c r="N1977">
        <f>WEEKNUM(orders[[#This Row],[Order Date]])</f>
        <v>11</v>
      </c>
      <c r="O1977" t="str" cm="1">
        <f t="array" ref="O1977">_xlfn.IFS(orders[[#This Row],[Customer Gender]] = "M", "Male",orders[[#This Row],[Customer Gender]] = "F", "Female",orders[[#This Row],[Customer Gender]] = "O", "Others",TRUE,"Unknown")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 - orders[[#This Row],[Order Date]]</f>
        <v>1</v>
      </c>
      <c r="N1978">
        <f>WEEKNUM(orders[[#This Row],[Order Date]])</f>
        <v>11</v>
      </c>
      <c r="O1978" t="str" cm="1">
        <f t="array" ref="O1978">_xlfn.IFS(orders[[#This Row],[Customer Gender]] = "M", "Male",orders[[#This Row],[Customer Gender]] = "F", "Female",orders[[#This Row],[Customer Gender]] = "O", "Others",TRUE,"Unknown")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 - orders[[#This Row],[Order Date]]</f>
        <v>8</v>
      </c>
      <c r="N1979">
        <f>WEEKNUM(orders[[#This Row],[Order Date]])</f>
        <v>11</v>
      </c>
      <c r="O1979" t="str" cm="1">
        <f t="array" ref="O1979">_xlfn.IFS(orders[[#This Row],[Customer Gender]] = "M", "Male",orders[[#This Row],[Customer Gender]] = "F", "Female",orders[[#This Row],[Customer Gender]] = "O", "Others",TRUE,"Unknown")</f>
        <v>Others</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 - orders[[#This Row],[Order Date]]</f>
        <v>12</v>
      </c>
      <c r="N1980">
        <f>WEEKNUM(orders[[#This Row],[Order Date]])</f>
        <v>11</v>
      </c>
      <c r="O1980" t="str" cm="1">
        <f t="array" ref="O1980">_xlfn.IFS(orders[[#This Row],[Customer Gender]] = "M", "Male",orders[[#This Row],[Customer Gender]] = "F", "Female",orders[[#This Row],[Customer Gender]] = "O", "Others",TRUE,"Unknown")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 - orders[[#This Row],[Order Date]]</f>
        <v>0</v>
      </c>
      <c r="N1981">
        <f>WEEKNUM(orders[[#This Row],[Order Date]])</f>
        <v>11</v>
      </c>
      <c r="O1981" t="str" cm="1">
        <f t="array" ref="O1981">_xlfn.IFS(orders[[#This Row],[Customer Gender]] = "M", "Male",orders[[#This Row],[Customer Gender]] = "F", "Female",orders[[#This Row],[Customer Gender]] = "O", "Others",TRUE,"Unknown")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 - orders[[#This Row],[Order Date]]</f>
        <v>4</v>
      </c>
      <c r="N1982">
        <f>WEEKNUM(orders[[#This Row],[Order Date]])</f>
        <v>11</v>
      </c>
      <c r="O1982" t="str" cm="1">
        <f t="array" ref="O1982">_xlfn.IFS(orders[[#This Row],[Customer Gender]] = "M", "Male",orders[[#This Row],[Customer Gender]] = "F", "Female",orders[[#This Row],[Customer Gender]] = "O", "Others",TRUE,"Unknown")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 - orders[[#This Row],[Order Date]]</f>
        <v>1</v>
      </c>
      <c r="N1983">
        <f>WEEKNUM(orders[[#This Row],[Order Date]])</f>
        <v>11</v>
      </c>
      <c r="O1983" t="str" cm="1">
        <f t="array" ref="O1983">_xlfn.IFS(orders[[#This Row],[Customer Gender]] = "M", "Male",orders[[#This Row],[Customer Gender]] = "F", "Female",orders[[#This Row],[Customer Gender]] = "O", "Others",TRUE,"Unknown")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 - orders[[#This Row],[Order Date]]</f>
        <v>4</v>
      </c>
      <c r="N1984">
        <f>WEEKNUM(orders[[#This Row],[Order Date]])</f>
        <v>11</v>
      </c>
      <c r="O1984" t="str" cm="1">
        <f t="array" ref="O1984">_xlfn.IFS(orders[[#This Row],[Customer Gender]] = "M", "Male",orders[[#This Row],[Customer Gender]] = "F", "Female",orders[[#This Row],[Customer Gender]] = "O", "Others",TRUE,"Unknown")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 - orders[[#This Row],[Order Date]]</f>
        <v>1</v>
      </c>
      <c r="N1985">
        <f>WEEKNUM(orders[[#This Row],[Order Date]])</f>
        <v>11</v>
      </c>
      <c r="O1985" t="str" cm="1">
        <f t="array" ref="O1985">_xlfn.IFS(orders[[#This Row],[Customer Gender]] = "M", "Male",orders[[#This Row],[Customer Gender]] = "F", "Female",orders[[#This Row],[Customer Gender]] = "O", "Others",TRUE,"Unknown")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 - orders[[#This Row],[Order Date]]</f>
        <v>2</v>
      </c>
      <c r="N1986">
        <f>WEEKNUM(orders[[#This Row],[Order Date]])</f>
        <v>11</v>
      </c>
      <c r="O1986" t="str" cm="1">
        <f t="array" ref="O1986">_xlfn.IFS(orders[[#This Row],[Customer Gender]] = "M", "Male",orders[[#This Row],[Customer Gender]] = "F", "Female",orders[[#This Row],[Customer Gender]] = "O", "Others",TRUE,"Unknown")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 - orders[[#This Row],[Order Date]]</f>
        <v>2</v>
      </c>
      <c r="N1987">
        <f>WEEKNUM(orders[[#This Row],[Order Date]])</f>
        <v>11</v>
      </c>
      <c r="O1987" t="str" cm="1">
        <f t="array" ref="O1987">_xlfn.IFS(orders[[#This Row],[Customer Gender]] = "M", "Male",orders[[#This Row],[Customer Gender]] = "F", "Female",orders[[#This Row],[Customer Gender]] = "O", "Others",TRUE,"Unknown")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 - orders[[#This Row],[Order Date]]</f>
        <v>4</v>
      </c>
      <c r="N1988">
        <f>WEEKNUM(orders[[#This Row],[Order Date]])</f>
        <v>11</v>
      </c>
      <c r="O1988" t="str" cm="1">
        <f t="array" ref="O1988">_xlfn.IFS(orders[[#This Row],[Customer Gender]] = "M", "Male",orders[[#This Row],[Customer Gender]] = "F", "Female",orders[[#This Row],[Customer Gender]] = "O", "Others",TRUE,"Unknown")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 - orders[[#This Row],[Order Date]]</f>
        <v>2</v>
      </c>
      <c r="N1989">
        <f>WEEKNUM(orders[[#This Row],[Order Date]])</f>
        <v>11</v>
      </c>
      <c r="O1989" t="str" cm="1">
        <f t="array" ref="O1989">_xlfn.IFS(orders[[#This Row],[Customer Gender]] = "M", "Male",orders[[#This Row],[Customer Gender]] = "F", "Female",orders[[#This Row],[Customer Gender]] = "O", "Others",TRUE,"Unknown")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 - orders[[#This Row],[Order Date]]</f>
        <v>3</v>
      </c>
      <c r="N1990">
        <f>WEEKNUM(orders[[#This Row],[Order Date]])</f>
        <v>11</v>
      </c>
      <c r="O1990" t="str" cm="1">
        <f t="array" ref="O1990">_xlfn.IFS(orders[[#This Row],[Customer Gender]] = "M", "Male",orders[[#This Row],[Customer Gender]] = "F", "Female",orders[[#This Row],[Customer Gender]] = "O", "Others",TRUE,"Unknown")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 - orders[[#This Row],[Order Date]]</f>
        <v>1</v>
      </c>
      <c r="N1991">
        <f>WEEKNUM(orders[[#This Row],[Order Date]])</f>
        <v>11</v>
      </c>
      <c r="O1991" t="str" cm="1">
        <f t="array" ref="O1991">_xlfn.IFS(orders[[#This Row],[Customer Gender]] = "M", "Male",orders[[#This Row],[Customer Gender]] = "F", "Female",orders[[#This Row],[Customer Gender]] = "O", "Others",TRUE,"Unknown")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 - orders[[#This Row],[Order Date]]</f>
        <v>2</v>
      </c>
      <c r="N1992">
        <f>WEEKNUM(orders[[#This Row],[Order Date]])</f>
        <v>11</v>
      </c>
      <c r="O1992" t="str" cm="1">
        <f t="array" ref="O1992">_xlfn.IFS(orders[[#This Row],[Customer Gender]] = "M", "Male",orders[[#This Row],[Customer Gender]] = "F", "Female",orders[[#This Row],[Customer Gender]] = "O", "Others",TRUE,"Unknown")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 - orders[[#This Row],[Order Date]]</f>
        <v>1</v>
      </c>
      <c r="N1993">
        <f>WEEKNUM(orders[[#This Row],[Order Date]])</f>
        <v>11</v>
      </c>
      <c r="O1993" t="str" cm="1">
        <f t="array" ref="O1993">_xlfn.IFS(orders[[#This Row],[Customer Gender]] = "M", "Male",orders[[#This Row],[Customer Gender]] = "F", "Female",orders[[#This Row],[Customer Gender]] = "O", "Others",TRUE,"Unknown")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 - orders[[#This Row],[Order Date]]</f>
        <v>7</v>
      </c>
      <c r="N1994">
        <f>WEEKNUM(orders[[#This Row],[Order Date]])</f>
        <v>11</v>
      </c>
      <c r="O1994" t="str" cm="1">
        <f t="array" ref="O1994">_xlfn.IFS(orders[[#This Row],[Customer Gender]] = "M", "Male",orders[[#This Row],[Customer Gender]] = "F", "Female",orders[[#This Row],[Customer Gender]] = "O", "Others",TRUE,"Unknown")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 - orders[[#This Row],[Order Date]]</f>
        <v>1</v>
      </c>
      <c r="N1995">
        <f>WEEKNUM(orders[[#This Row],[Order Date]])</f>
        <v>11</v>
      </c>
      <c r="O1995" t="str" cm="1">
        <f t="array" ref="O1995">_xlfn.IFS(orders[[#This Row],[Customer Gender]] = "M", "Male",orders[[#This Row],[Customer Gender]] = "F", "Female",orders[[#This Row],[Customer Gender]] = "O", "Others",TRUE,"Unknown")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 - orders[[#This Row],[Order Date]]</f>
        <v>3</v>
      </c>
      <c r="N1996">
        <f>WEEKNUM(orders[[#This Row],[Order Date]])</f>
        <v>11</v>
      </c>
      <c r="O1996" t="str" cm="1">
        <f t="array" ref="O1996">_xlfn.IFS(orders[[#This Row],[Customer Gender]] = "M", "Male",orders[[#This Row],[Customer Gender]] = "F", "Female",orders[[#This Row],[Customer Gender]] = "O", "Others",TRUE,"Unknown")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 - orders[[#This Row],[Order Date]]</f>
        <v>1</v>
      </c>
      <c r="N1997">
        <f>WEEKNUM(orders[[#This Row],[Order Date]])</f>
        <v>11</v>
      </c>
      <c r="O1997" t="str" cm="1">
        <f t="array" ref="O1997">_xlfn.IFS(orders[[#This Row],[Customer Gender]] = "M", "Male",orders[[#This Row],[Customer Gender]] = "F", "Female",orders[[#This Row],[Customer Gender]] = "O", "Others",TRUE,"Unknown")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 - orders[[#This Row],[Order Date]]</f>
        <v>1</v>
      </c>
      <c r="N1998">
        <f>WEEKNUM(orders[[#This Row],[Order Date]])</f>
        <v>11</v>
      </c>
      <c r="O1998" t="str" cm="1">
        <f t="array" ref="O1998">_xlfn.IFS(orders[[#This Row],[Customer Gender]] = "M", "Male",orders[[#This Row],[Customer Gender]] = "F", "Female",orders[[#This Row],[Customer Gender]] = "O", "Others",TRUE,"Unknown")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 - orders[[#This Row],[Order Date]]</f>
        <v>1</v>
      </c>
      <c r="N1999">
        <f>WEEKNUM(orders[[#This Row],[Order Date]])</f>
        <v>11</v>
      </c>
      <c r="O1999" t="str" cm="1">
        <f t="array" ref="O1999">_xlfn.IFS(orders[[#This Row],[Customer Gender]] = "M", "Male",orders[[#This Row],[Customer Gender]] = "F", "Female",orders[[#This Row],[Customer Gender]] = "O", "Others",TRUE,"Unknown")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 - orders[[#This Row],[Order Date]]</f>
        <v>2</v>
      </c>
      <c r="N2000">
        <f>WEEKNUM(orders[[#This Row],[Order Date]])</f>
        <v>11</v>
      </c>
      <c r="O2000" t="str" cm="1">
        <f t="array" ref="O2000">_xlfn.IFS(orders[[#This Row],[Customer Gender]] = "M", "Male",orders[[#This Row],[Customer Gender]] = "F", "Female",orders[[#This Row],[Customer Gender]] = "O", "Others",TRUE,"Unknown")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 - orders[[#This Row],[Order Date]]</f>
        <v>10</v>
      </c>
      <c r="N2001">
        <f>WEEKNUM(orders[[#This Row],[Order Date]])</f>
        <v>11</v>
      </c>
      <c r="O2001" t="str" cm="1">
        <f t="array" ref="O2001">_xlfn.IFS(orders[[#This Row],[Customer Gender]] = "M", "Male",orders[[#This Row],[Customer Gender]] = "F", "Female",orders[[#This Row],[Customer Gender]] = "O", "Others",TRUE,"Unknown")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 - orders[[#This Row],[Order Date]]</f>
        <v>4</v>
      </c>
      <c r="N2002">
        <f>WEEKNUM(orders[[#This Row],[Order Date]])</f>
        <v>11</v>
      </c>
      <c r="O2002" t="str" cm="1">
        <f t="array" ref="O2002">_xlfn.IFS(orders[[#This Row],[Customer Gender]] = "M", "Male",orders[[#This Row],[Customer Gender]] = "F", "Female",orders[[#This Row],[Customer Gender]] = "O", "Others",TRUE,"Unknown")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 - orders[[#This Row],[Order Date]]</f>
        <v>1</v>
      </c>
      <c r="N2003">
        <f>WEEKNUM(orders[[#This Row],[Order Date]])</f>
        <v>11</v>
      </c>
      <c r="O2003" t="str" cm="1">
        <f t="array" ref="O2003">_xlfn.IFS(orders[[#This Row],[Customer Gender]] = "M", "Male",orders[[#This Row],[Customer Gender]] = "F", "Female",orders[[#This Row],[Customer Gender]] = "O", "Others",TRUE,"Unknown")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 - orders[[#This Row],[Order Date]]</f>
        <v>1</v>
      </c>
      <c r="N2004">
        <f>WEEKNUM(orders[[#This Row],[Order Date]])</f>
        <v>11</v>
      </c>
      <c r="O2004" t="str" cm="1">
        <f t="array" ref="O2004">_xlfn.IFS(orders[[#This Row],[Customer Gender]] = "M", "Male",orders[[#This Row],[Customer Gender]] = "F", "Female",orders[[#This Row],[Customer Gender]] = "O", "Others",TRUE,"Unknown")</f>
        <v>Others</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 - orders[[#This Row],[Order Date]]</f>
        <v>1</v>
      </c>
      <c r="N2005">
        <f>WEEKNUM(orders[[#This Row],[Order Date]])</f>
        <v>11</v>
      </c>
      <c r="O2005" t="str" cm="1">
        <f t="array" ref="O2005">_xlfn.IFS(orders[[#This Row],[Customer Gender]] = "M", "Male",orders[[#This Row],[Customer Gender]] = "F", "Female",orders[[#This Row],[Customer Gender]] = "O", "Others",TRUE,"Unknown")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 - orders[[#This Row],[Order Date]]</f>
        <v>2</v>
      </c>
      <c r="N2006">
        <f>WEEKNUM(orders[[#This Row],[Order Date]])</f>
        <v>11</v>
      </c>
      <c r="O2006" t="str" cm="1">
        <f t="array" ref="O2006">_xlfn.IFS(orders[[#This Row],[Customer Gender]] = "M", "Male",orders[[#This Row],[Customer Gender]] = "F", "Female",orders[[#This Row],[Customer Gender]] = "O", "Others",TRUE,"Unknown")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 - orders[[#This Row],[Order Date]]</f>
        <v>3</v>
      </c>
      <c r="N2007">
        <f>WEEKNUM(orders[[#This Row],[Order Date]])</f>
        <v>11</v>
      </c>
      <c r="O2007" t="str" cm="1">
        <f t="array" ref="O2007">_xlfn.IFS(orders[[#This Row],[Customer Gender]] = "M", "Male",orders[[#This Row],[Customer Gender]] = "F", "Female",orders[[#This Row],[Customer Gender]] = "O", "Others",TRUE,"Unknown")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 - orders[[#This Row],[Order Date]]</f>
        <v>2</v>
      </c>
      <c r="N2008">
        <f>WEEKNUM(orders[[#This Row],[Order Date]])</f>
        <v>11</v>
      </c>
      <c r="O2008" t="str" cm="1">
        <f t="array" ref="O2008">_xlfn.IFS(orders[[#This Row],[Customer Gender]] = "M", "Male",orders[[#This Row],[Customer Gender]] = "F", "Female",orders[[#This Row],[Customer Gender]] = "O", "Others",TRUE,"Unknown")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 - orders[[#This Row],[Order Date]]</f>
        <v>1</v>
      </c>
      <c r="N2009">
        <f>WEEKNUM(orders[[#This Row],[Order Date]])</f>
        <v>11</v>
      </c>
      <c r="O2009" t="str" cm="1">
        <f t="array" ref="O2009">_xlfn.IFS(orders[[#This Row],[Customer Gender]] = "M", "Male",orders[[#This Row],[Customer Gender]] = "F", "Female",orders[[#This Row],[Customer Gender]] = "O", "Others",TRUE,"Unknown")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 - orders[[#This Row],[Order Date]]</f>
        <v>2</v>
      </c>
      <c r="N2010">
        <f>WEEKNUM(orders[[#This Row],[Order Date]])</f>
        <v>11</v>
      </c>
      <c r="O2010" t="str" cm="1">
        <f t="array" ref="O2010">_xlfn.IFS(orders[[#This Row],[Customer Gender]] = "M", "Male",orders[[#This Row],[Customer Gender]] = "F", "Female",orders[[#This Row],[Customer Gender]] = "O", "Others",TRUE,"Unknown")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 - orders[[#This Row],[Order Date]]</f>
        <v>1</v>
      </c>
      <c r="N2011">
        <f>WEEKNUM(orders[[#This Row],[Order Date]])</f>
        <v>11</v>
      </c>
      <c r="O2011" t="str" cm="1">
        <f t="array" ref="O2011">_xlfn.IFS(orders[[#This Row],[Customer Gender]] = "M", "Male",orders[[#This Row],[Customer Gender]] = "F", "Female",orders[[#This Row],[Customer Gender]] = "O", "Others",TRUE,"Unknown")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 - orders[[#This Row],[Order Date]]</f>
        <v>1</v>
      </c>
      <c r="N2012">
        <f>WEEKNUM(orders[[#This Row],[Order Date]])</f>
        <v>11</v>
      </c>
      <c r="O2012" t="str" cm="1">
        <f t="array" ref="O2012">_xlfn.IFS(orders[[#This Row],[Customer Gender]] = "M", "Male",orders[[#This Row],[Customer Gender]] = "F", "Female",orders[[#This Row],[Customer Gender]] = "O", "Others",TRUE,"Unknown")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 - orders[[#This Row],[Order Date]]</f>
        <v>1</v>
      </c>
      <c r="N2013">
        <f>WEEKNUM(orders[[#This Row],[Order Date]])</f>
        <v>11</v>
      </c>
      <c r="O2013" t="str" cm="1">
        <f t="array" ref="O2013">_xlfn.IFS(orders[[#This Row],[Customer Gender]] = "M", "Male",orders[[#This Row],[Customer Gender]] = "F", "Female",orders[[#This Row],[Customer Gender]] = "O", "Others",TRUE,"Unknown")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 - orders[[#This Row],[Order Date]]</f>
        <v>2</v>
      </c>
      <c r="N2014">
        <f>WEEKNUM(orders[[#This Row],[Order Date]])</f>
        <v>11</v>
      </c>
      <c r="O2014" t="str" cm="1">
        <f t="array" ref="O2014">_xlfn.IFS(orders[[#This Row],[Customer Gender]] = "M", "Male",orders[[#This Row],[Customer Gender]] = "F", "Female",orders[[#This Row],[Customer Gender]] = "O", "Others",TRUE,"Unknown")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 - orders[[#This Row],[Order Date]]</f>
        <v>1</v>
      </c>
      <c r="N2015">
        <f>WEEKNUM(orders[[#This Row],[Order Date]])</f>
        <v>11</v>
      </c>
      <c r="O2015" t="str" cm="1">
        <f t="array" ref="O2015">_xlfn.IFS(orders[[#This Row],[Customer Gender]] = "M", "Male",orders[[#This Row],[Customer Gender]] = "F", "Female",orders[[#This Row],[Customer Gender]] = "O", "Others",TRUE,"Unknown")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 - orders[[#This Row],[Order Date]]</f>
        <v>1</v>
      </c>
      <c r="N2016">
        <f>WEEKNUM(orders[[#This Row],[Order Date]])</f>
        <v>11</v>
      </c>
      <c r="O2016" t="str" cm="1">
        <f t="array" ref="O2016">_xlfn.IFS(orders[[#This Row],[Customer Gender]] = "M", "Male",orders[[#This Row],[Customer Gender]] = "F", "Female",orders[[#This Row],[Customer Gender]] = "O", "Others",TRUE,"Unknown")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 - orders[[#This Row],[Order Date]]</f>
        <v>1</v>
      </c>
      <c r="N2017">
        <f>WEEKNUM(orders[[#This Row],[Order Date]])</f>
        <v>11</v>
      </c>
      <c r="O2017" t="str" cm="1">
        <f t="array" ref="O2017">_xlfn.IFS(orders[[#This Row],[Customer Gender]] = "M", "Male",orders[[#This Row],[Customer Gender]] = "F", "Female",orders[[#This Row],[Customer Gender]] = "O", "Others",TRUE,"Unknown")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 - orders[[#This Row],[Order Date]]</f>
        <v>2</v>
      </c>
      <c r="N2018">
        <f>WEEKNUM(orders[[#This Row],[Order Date]])</f>
        <v>12</v>
      </c>
      <c r="O2018" t="str" cm="1">
        <f t="array" ref="O2018">_xlfn.IFS(orders[[#This Row],[Customer Gender]] = "M", "Male",orders[[#This Row],[Customer Gender]] = "F", "Female",orders[[#This Row],[Customer Gender]] = "O", "Others",TRUE,"Unknown")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 - orders[[#This Row],[Order Date]]</f>
        <v>3</v>
      </c>
      <c r="N2019">
        <f>WEEKNUM(orders[[#This Row],[Order Date]])</f>
        <v>12</v>
      </c>
      <c r="O2019" t="str" cm="1">
        <f t="array" ref="O2019">_xlfn.IFS(orders[[#This Row],[Customer Gender]] = "M", "Male",orders[[#This Row],[Customer Gender]] = "F", "Female",orders[[#This Row],[Customer Gender]] = "O", "Others",TRUE,"Unknown")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 - orders[[#This Row],[Order Date]]</f>
        <v>3</v>
      </c>
      <c r="N2020">
        <f>WEEKNUM(orders[[#This Row],[Order Date]])</f>
        <v>12</v>
      </c>
      <c r="O2020" t="str" cm="1">
        <f t="array" ref="O2020">_xlfn.IFS(orders[[#This Row],[Customer Gender]] = "M", "Male",orders[[#This Row],[Customer Gender]] = "F", "Female",orders[[#This Row],[Customer Gender]] = "O", "Others",TRUE,"Unknown")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 - orders[[#This Row],[Order Date]]</f>
        <v>1</v>
      </c>
      <c r="N2021">
        <f>WEEKNUM(orders[[#This Row],[Order Date]])</f>
        <v>12</v>
      </c>
      <c r="O2021" t="str" cm="1">
        <f t="array" ref="O2021">_xlfn.IFS(orders[[#This Row],[Customer Gender]] = "M", "Male",orders[[#This Row],[Customer Gender]] = "F", "Female",orders[[#This Row],[Customer Gender]] = "O", "Others",TRUE,"Unknown")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 - orders[[#This Row],[Order Date]]</f>
        <v>2</v>
      </c>
      <c r="N2022">
        <f>WEEKNUM(orders[[#This Row],[Order Date]])</f>
        <v>12</v>
      </c>
      <c r="O2022" t="str" cm="1">
        <f t="array" ref="O2022">_xlfn.IFS(orders[[#This Row],[Customer Gender]] = "M", "Male",orders[[#This Row],[Customer Gender]] = "F", "Female",orders[[#This Row],[Customer Gender]] = "O", "Others",TRUE,"Unknown")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 - orders[[#This Row],[Order Date]]</f>
        <v>1</v>
      </c>
      <c r="N2023">
        <f>WEEKNUM(orders[[#This Row],[Order Date]])</f>
        <v>12</v>
      </c>
      <c r="O2023" t="str" cm="1">
        <f t="array" ref="O2023">_xlfn.IFS(orders[[#This Row],[Customer Gender]] = "M", "Male",orders[[#This Row],[Customer Gender]] = "F", "Female",orders[[#This Row],[Customer Gender]] = "O", "Others",TRUE,"Unknown")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 - orders[[#This Row],[Order Date]]</f>
        <v>1</v>
      </c>
      <c r="N2024">
        <f>WEEKNUM(orders[[#This Row],[Order Date]])</f>
        <v>12</v>
      </c>
      <c r="O2024" t="str" cm="1">
        <f t="array" ref="O2024">_xlfn.IFS(orders[[#This Row],[Customer Gender]] = "M", "Male",orders[[#This Row],[Customer Gender]] = "F", "Female",orders[[#This Row],[Customer Gender]] = "O", "Others",TRUE,"Unknown")</f>
        <v>Others</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 - orders[[#This Row],[Order Date]]</f>
        <v>1</v>
      </c>
      <c r="N2025">
        <f>WEEKNUM(orders[[#This Row],[Order Date]])</f>
        <v>12</v>
      </c>
      <c r="O2025" t="str" cm="1">
        <f t="array" ref="O2025">_xlfn.IFS(orders[[#This Row],[Customer Gender]] = "M", "Male",orders[[#This Row],[Customer Gender]] = "F", "Female",orders[[#This Row],[Customer Gender]] = "O", "Others",TRUE,"Unknown")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 - orders[[#This Row],[Order Date]]</f>
        <v>1</v>
      </c>
      <c r="N2026">
        <f>WEEKNUM(orders[[#This Row],[Order Date]])</f>
        <v>12</v>
      </c>
      <c r="O2026" t="str" cm="1">
        <f t="array" ref="O2026">_xlfn.IFS(orders[[#This Row],[Customer Gender]] = "M", "Male",orders[[#This Row],[Customer Gender]] = "F", "Female",orders[[#This Row],[Customer Gender]] = "O", "Others",TRUE,"Unknown")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 - orders[[#This Row],[Order Date]]</f>
        <v>1</v>
      </c>
      <c r="N2027">
        <f>WEEKNUM(orders[[#This Row],[Order Date]])</f>
        <v>12</v>
      </c>
      <c r="O2027" t="str" cm="1">
        <f t="array" ref="O2027">_xlfn.IFS(orders[[#This Row],[Customer Gender]] = "M", "Male",orders[[#This Row],[Customer Gender]] = "F", "Female",orders[[#This Row],[Customer Gender]] = "O", "Others",TRUE,"Unknown")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 - orders[[#This Row],[Order Date]]</f>
        <v>2</v>
      </c>
      <c r="N2028">
        <f>WEEKNUM(orders[[#This Row],[Order Date]])</f>
        <v>12</v>
      </c>
      <c r="O2028" t="str" cm="1">
        <f t="array" ref="O2028">_xlfn.IFS(orders[[#This Row],[Customer Gender]] = "M", "Male",orders[[#This Row],[Customer Gender]] = "F", "Female",orders[[#This Row],[Customer Gender]] = "O", "Others",TRUE,"Unknown")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 - orders[[#This Row],[Order Date]]</f>
        <v>3</v>
      </c>
      <c r="N2029">
        <f>WEEKNUM(orders[[#This Row],[Order Date]])</f>
        <v>12</v>
      </c>
      <c r="O2029" t="str" cm="1">
        <f t="array" ref="O2029">_xlfn.IFS(orders[[#This Row],[Customer Gender]] = "M", "Male",orders[[#This Row],[Customer Gender]] = "F", "Female",orders[[#This Row],[Customer Gender]] = "O", "Others",TRUE,"Unknown")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 - orders[[#This Row],[Order Date]]</f>
        <v>6</v>
      </c>
      <c r="N2030">
        <f>WEEKNUM(orders[[#This Row],[Order Date]])</f>
        <v>12</v>
      </c>
      <c r="O2030" t="str" cm="1">
        <f t="array" ref="O2030">_xlfn.IFS(orders[[#This Row],[Customer Gender]] = "M", "Male",orders[[#This Row],[Customer Gender]] = "F", "Female",orders[[#This Row],[Customer Gender]] = "O", "Others",TRUE,"Unknown")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 - orders[[#This Row],[Order Date]]</f>
        <v>4</v>
      </c>
      <c r="N2031">
        <f>WEEKNUM(orders[[#This Row],[Order Date]])</f>
        <v>12</v>
      </c>
      <c r="O2031" t="str" cm="1">
        <f t="array" ref="O2031">_xlfn.IFS(orders[[#This Row],[Customer Gender]] = "M", "Male",orders[[#This Row],[Customer Gender]] = "F", "Female",orders[[#This Row],[Customer Gender]] = "O", "Others",TRUE,"Unknown")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 - orders[[#This Row],[Order Date]]</f>
        <v>4</v>
      </c>
      <c r="N2032">
        <f>WEEKNUM(orders[[#This Row],[Order Date]])</f>
        <v>12</v>
      </c>
      <c r="O2032" t="str" cm="1">
        <f t="array" ref="O2032">_xlfn.IFS(orders[[#This Row],[Customer Gender]] = "M", "Male",orders[[#This Row],[Customer Gender]] = "F", "Female",orders[[#This Row],[Customer Gender]] = "O", "Others",TRUE,"Unknown")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 - orders[[#This Row],[Order Date]]</f>
        <v>0</v>
      </c>
      <c r="N2033">
        <f>WEEKNUM(orders[[#This Row],[Order Date]])</f>
        <v>12</v>
      </c>
      <c r="O2033" t="str" cm="1">
        <f t="array" ref="O2033">_xlfn.IFS(orders[[#This Row],[Customer Gender]] = "M", "Male",orders[[#This Row],[Customer Gender]] = "F", "Female",orders[[#This Row],[Customer Gender]] = "O", "Others",TRUE,"Unknown")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 - orders[[#This Row],[Order Date]]</f>
        <v>1</v>
      </c>
      <c r="N2034">
        <f>WEEKNUM(orders[[#This Row],[Order Date]])</f>
        <v>12</v>
      </c>
      <c r="O2034" t="str" cm="1">
        <f t="array" ref="O2034">_xlfn.IFS(orders[[#This Row],[Customer Gender]] = "M", "Male",orders[[#This Row],[Customer Gender]] = "F", "Female",orders[[#This Row],[Customer Gender]] = "O", "Others",TRUE,"Unknown")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 - orders[[#This Row],[Order Date]]</f>
        <v>3</v>
      </c>
      <c r="N2035">
        <f>WEEKNUM(orders[[#This Row],[Order Date]])</f>
        <v>12</v>
      </c>
      <c r="O2035" t="str" cm="1">
        <f t="array" ref="O2035">_xlfn.IFS(orders[[#This Row],[Customer Gender]] = "M", "Male",orders[[#This Row],[Customer Gender]] = "F", "Female",orders[[#This Row],[Customer Gender]] = "O", "Others",TRUE,"Unknown")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 - orders[[#This Row],[Order Date]]</f>
        <v>3</v>
      </c>
      <c r="N2036">
        <f>WEEKNUM(orders[[#This Row],[Order Date]])</f>
        <v>12</v>
      </c>
      <c r="O2036" t="str" cm="1">
        <f t="array" ref="O2036">_xlfn.IFS(orders[[#This Row],[Customer Gender]] = "M", "Male",orders[[#This Row],[Customer Gender]] = "F", "Female",orders[[#This Row],[Customer Gender]] = "O", "Others",TRUE,"Unknown")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 - orders[[#This Row],[Order Date]]</f>
        <v>1</v>
      </c>
      <c r="N2037">
        <f>WEEKNUM(orders[[#This Row],[Order Date]])</f>
        <v>12</v>
      </c>
      <c r="O2037" t="str" cm="1">
        <f t="array" ref="O2037">_xlfn.IFS(orders[[#This Row],[Customer Gender]] = "M", "Male",orders[[#This Row],[Customer Gender]] = "F", "Female",orders[[#This Row],[Customer Gender]] = "O", "Others",TRUE,"Unknown")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 - orders[[#This Row],[Order Date]]</f>
        <v>0</v>
      </c>
      <c r="N2038">
        <f>WEEKNUM(orders[[#This Row],[Order Date]])</f>
        <v>12</v>
      </c>
      <c r="O2038" t="str" cm="1">
        <f t="array" ref="O2038">_xlfn.IFS(orders[[#This Row],[Customer Gender]] = "M", "Male",orders[[#This Row],[Customer Gender]] = "F", "Female",orders[[#This Row],[Customer Gender]] = "O", "Others",TRUE,"Unknown")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 - orders[[#This Row],[Order Date]]</f>
        <v>3</v>
      </c>
      <c r="N2039">
        <f>WEEKNUM(orders[[#This Row],[Order Date]])</f>
        <v>12</v>
      </c>
      <c r="O2039" t="str" cm="1">
        <f t="array" ref="O2039">_xlfn.IFS(orders[[#This Row],[Customer Gender]] = "M", "Male",orders[[#This Row],[Customer Gender]] = "F", "Female",orders[[#This Row],[Customer Gender]] = "O", "Others",TRUE,"Unknown")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 - orders[[#This Row],[Order Date]]</f>
        <v>7</v>
      </c>
      <c r="N2040">
        <f>WEEKNUM(orders[[#This Row],[Order Date]])</f>
        <v>12</v>
      </c>
      <c r="O2040" t="str" cm="1">
        <f t="array" ref="O2040">_xlfn.IFS(orders[[#This Row],[Customer Gender]] = "M", "Male",orders[[#This Row],[Customer Gender]] = "F", "Female",orders[[#This Row],[Customer Gender]] = "O", "Others",TRUE,"Unknown")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 - orders[[#This Row],[Order Date]]</f>
        <v>3</v>
      </c>
      <c r="N2041">
        <f>WEEKNUM(orders[[#This Row],[Order Date]])</f>
        <v>12</v>
      </c>
      <c r="O2041" t="str" cm="1">
        <f t="array" ref="O2041">_xlfn.IFS(orders[[#This Row],[Customer Gender]] = "M", "Male",orders[[#This Row],[Customer Gender]] = "F", "Female",orders[[#This Row],[Customer Gender]] = "O", "Others",TRUE,"Unknown")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 - orders[[#This Row],[Order Date]]</f>
        <v>1</v>
      </c>
      <c r="N2042">
        <f>WEEKNUM(orders[[#This Row],[Order Date]])</f>
        <v>12</v>
      </c>
      <c r="O2042" t="str" cm="1">
        <f t="array" ref="O2042">_xlfn.IFS(orders[[#This Row],[Customer Gender]] = "M", "Male",orders[[#This Row],[Customer Gender]] = "F", "Female",orders[[#This Row],[Customer Gender]] = "O", "Others",TRUE,"Unknown")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 - orders[[#This Row],[Order Date]]</f>
        <v>2</v>
      </c>
      <c r="N2043">
        <f>WEEKNUM(orders[[#This Row],[Order Date]])</f>
        <v>12</v>
      </c>
      <c r="O2043" t="str" cm="1">
        <f t="array" ref="O2043">_xlfn.IFS(orders[[#This Row],[Customer Gender]] = "M", "Male",orders[[#This Row],[Customer Gender]] = "F", "Female",orders[[#This Row],[Customer Gender]] = "O", "Others",TRUE,"Unknown")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 - orders[[#This Row],[Order Date]]</f>
        <v>1</v>
      </c>
      <c r="N2044">
        <f>WEEKNUM(orders[[#This Row],[Order Date]])</f>
        <v>12</v>
      </c>
      <c r="O2044" t="str" cm="1">
        <f t="array" ref="O2044">_xlfn.IFS(orders[[#This Row],[Customer Gender]] = "M", "Male",orders[[#This Row],[Customer Gender]] = "F", "Female",orders[[#This Row],[Customer Gender]] = "O", "Others",TRUE,"Unknown")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 - orders[[#This Row],[Order Date]]</f>
        <v>1</v>
      </c>
      <c r="N2045">
        <f>WEEKNUM(orders[[#This Row],[Order Date]])</f>
        <v>12</v>
      </c>
      <c r="O2045" t="str" cm="1">
        <f t="array" ref="O2045">_xlfn.IFS(orders[[#This Row],[Customer Gender]] = "M", "Male",orders[[#This Row],[Customer Gender]] = "F", "Female",orders[[#This Row],[Customer Gender]] = "O", "Others",TRUE,"Unknown")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 - orders[[#This Row],[Order Date]]</f>
        <v>1</v>
      </c>
      <c r="N2046">
        <f>WEEKNUM(orders[[#This Row],[Order Date]])</f>
        <v>12</v>
      </c>
      <c r="O2046" t="str" cm="1">
        <f t="array" ref="O2046">_xlfn.IFS(orders[[#This Row],[Customer Gender]] = "M", "Male",orders[[#This Row],[Customer Gender]] = "F", "Female",orders[[#This Row],[Customer Gender]] = "O", "Others",TRUE,"Unknown")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 - orders[[#This Row],[Order Date]]</f>
        <v>1</v>
      </c>
      <c r="N2047">
        <f>WEEKNUM(orders[[#This Row],[Order Date]])</f>
        <v>12</v>
      </c>
      <c r="O2047" t="str" cm="1">
        <f t="array" ref="O2047">_xlfn.IFS(orders[[#This Row],[Customer Gender]] = "M", "Male",orders[[#This Row],[Customer Gender]] = "F", "Female",orders[[#This Row],[Customer Gender]] = "O", "Others",TRUE,"Unknown")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 - orders[[#This Row],[Order Date]]</f>
        <v>4</v>
      </c>
      <c r="N2048">
        <f>WEEKNUM(orders[[#This Row],[Order Date]])</f>
        <v>12</v>
      </c>
      <c r="O2048" t="str" cm="1">
        <f t="array" ref="O2048">_xlfn.IFS(orders[[#This Row],[Customer Gender]] = "M", "Male",orders[[#This Row],[Customer Gender]] = "F", "Female",orders[[#This Row],[Customer Gender]] = "O", "Others",TRUE,"Unknown")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 - orders[[#This Row],[Order Date]]</f>
        <v>1</v>
      </c>
      <c r="N2049">
        <f>WEEKNUM(orders[[#This Row],[Order Date]])</f>
        <v>12</v>
      </c>
      <c r="O2049" t="str" cm="1">
        <f t="array" ref="O2049">_xlfn.IFS(orders[[#This Row],[Customer Gender]] = "M", "Male",orders[[#This Row],[Customer Gender]] = "F", "Female",orders[[#This Row],[Customer Gender]] = "O", "Others",TRUE,"Unknown")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 - orders[[#This Row],[Order Date]]</f>
        <v>2</v>
      </c>
      <c r="N2050">
        <f>WEEKNUM(orders[[#This Row],[Order Date]])</f>
        <v>12</v>
      </c>
      <c r="O2050" t="str" cm="1">
        <f t="array" ref="O2050">_xlfn.IFS(orders[[#This Row],[Customer Gender]] = "M", "Male",orders[[#This Row],[Customer Gender]] = "F", "Female",orders[[#This Row],[Customer Gender]] = "O", "Others",TRUE,"Unknown")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 - orders[[#This Row],[Order Date]]</f>
        <v>5</v>
      </c>
      <c r="N2051">
        <f>WEEKNUM(orders[[#This Row],[Order Date]])</f>
        <v>12</v>
      </c>
      <c r="O2051" t="str" cm="1">
        <f t="array" ref="O2051">_xlfn.IFS(orders[[#This Row],[Customer Gender]] = "M", "Male",orders[[#This Row],[Customer Gender]] = "F", "Female",orders[[#This Row],[Customer Gender]] = "O", "Others",TRUE,"Unknown")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 - orders[[#This Row],[Order Date]]</f>
        <v>2</v>
      </c>
      <c r="N2052">
        <f>WEEKNUM(orders[[#This Row],[Order Date]])</f>
        <v>12</v>
      </c>
      <c r="O2052" t="str" cm="1">
        <f t="array" ref="O2052">_xlfn.IFS(orders[[#This Row],[Customer Gender]] = "M", "Male",orders[[#This Row],[Customer Gender]] = "F", "Female",orders[[#This Row],[Customer Gender]] = "O", "Others",TRUE,"Unknown")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 - orders[[#This Row],[Order Date]]</f>
        <v>1</v>
      </c>
      <c r="N2053">
        <f>WEEKNUM(orders[[#This Row],[Order Date]])</f>
        <v>12</v>
      </c>
      <c r="O2053" t="str" cm="1">
        <f t="array" ref="O2053">_xlfn.IFS(orders[[#This Row],[Customer Gender]] = "M", "Male",orders[[#This Row],[Customer Gender]] = "F", "Female",orders[[#This Row],[Customer Gender]] = "O", "Others",TRUE,"Unknown")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 - orders[[#This Row],[Order Date]]</f>
        <v>2</v>
      </c>
      <c r="N2054">
        <f>WEEKNUM(orders[[#This Row],[Order Date]])</f>
        <v>12</v>
      </c>
      <c r="O2054" t="str" cm="1">
        <f t="array" ref="O2054">_xlfn.IFS(orders[[#This Row],[Customer Gender]] = "M", "Male",orders[[#This Row],[Customer Gender]] = "F", "Female",orders[[#This Row],[Customer Gender]] = "O", "Others",TRUE,"Unknown")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 - orders[[#This Row],[Order Date]]</f>
        <v>3</v>
      </c>
      <c r="N2055">
        <f>WEEKNUM(orders[[#This Row],[Order Date]])</f>
        <v>12</v>
      </c>
      <c r="O2055" t="str" cm="1">
        <f t="array" ref="O2055">_xlfn.IFS(orders[[#This Row],[Customer Gender]] = "M", "Male",orders[[#This Row],[Customer Gender]] = "F", "Female",orders[[#This Row],[Customer Gender]] = "O", "Others",TRUE,"Unknown")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 - orders[[#This Row],[Order Date]]</f>
        <v>5</v>
      </c>
      <c r="N2056">
        <f>WEEKNUM(orders[[#This Row],[Order Date]])</f>
        <v>12</v>
      </c>
      <c r="O2056" t="str" cm="1">
        <f t="array" ref="O2056">_xlfn.IFS(orders[[#This Row],[Customer Gender]] = "M", "Male",orders[[#This Row],[Customer Gender]] = "F", "Female",orders[[#This Row],[Customer Gender]] = "O", "Others",TRUE,"Unknown")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 - orders[[#This Row],[Order Date]]</f>
        <v>3</v>
      </c>
      <c r="N2057">
        <f>WEEKNUM(orders[[#This Row],[Order Date]])</f>
        <v>12</v>
      </c>
      <c r="O2057" t="str" cm="1">
        <f t="array" ref="O2057">_xlfn.IFS(orders[[#This Row],[Customer Gender]] = "M", "Male",orders[[#This Row],[Customer Gender]] = "F", "Female",orders[[#This Row],[Customer Gender]] = "O", "Others",TRUE,"Unknown")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 - orders[[#This Row],[Order Date]]</f>
        <v>1</v>
      </c>
      <c r="N2058">
        <f>WEEKNUM(orders[[#This Row],[Order Date]])</f>
        <v>12</v>
      </c>
      <c r="O2058" t="str" cm="1">
        <f t="array" ref="O2058">_xlfn.IFS(orders[[#This Row],[Customer Gender]] = "M", "Male",orders[[#This Row],[Customer Gender]] = "F", "Female",orders[[#This Row],[Customer Gender]] = "O", "Others",TRUE,"Unknown")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 - orders[[#This Row],[Order Date]]</f>
        <v>1</v>
      </c>
      <c r="N2059">
        <f>WEEKNUM(orders[[#This Row],[Order Date]])</f>
        <v>12</v>
      </c>
      <c r="O2059" t="str" cm="1">
        <f t="array" ref="O2059">_xlfn.IFS(orders[[#This Row],[Customer Gender]] = "M", "Male",orders[[#This Row],[Customer Gender]] = "F", "Female",orders[[#This Row],[Customer Gender]] = "O", "Others",TRUE,"Unknown")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 - orders[[#This Row],[Order Date]]</f>
        <v>5</v>
      </c>
      <c r="N2060">
        <f>WEEKNUM(orders[[#This Row],[Order Date]])</f>
        <v>12</v>
      </c>
      <c r="O2060" t="str" cm="1">
        <f t="array" ref="O2060">_xlfn.IFS(orders[[#This Row],[Customer Gender]] = "M", "Male",orders[[#This Row],[Customer Gender]] = "F", "Female",orders[[#This Row],[Customer Gender]] = "O", "Others",TRUE,"Unknown")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 - orders[[#This Row],[Order Date]]</f>
        <v>1</v>
      </c>
      <c r="N2061">
        <f>WEEKNUM(orders[[#This Row],[Order Date]])</f>
        <v>12</v>
      </c>
      <c r="O2061" t="str" cm="1">
        <f t="array" ref="O2061">_xlfn.IFS(orders[[#This Row],[Customer Gender]] = "M", "Male",orders[[#This Row],[Customer Gender]] = "F", "Female",orders[[#This Row],[Customer Gender]] = "O", "Others",TRUE,"Unknown")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 - orders[[#This Row],[Order Date]]</f>
        <v>2</v>
      </c>
      <c r="N2062">
        <f>WEEKNUM(orders[[#This Row],[Order Date]])</f>
        <v>12</v>
      </c>
      <c r="O2062" t="str" cm="1">
        <f t="array" ref="O2062">_xlfn.IFS(orders[[#This Row],[Customer Gender]] = "M", "Male",orders[[#This Row],[Customer Gender]] = "F", "Female",orders[[#This Row],[Customer Gender]] = "O", "Others",TRUE,"Unknown")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 - orders[[#This Row],[Order Date]]</f>
        <v>1</v>
      </c>
      <c r="N2063">
        <f>WEEKNUM(orders[[#This Row],[Order Date]])</f>
        <v>12</v>
      </c>
      <c r="O2063" t="str" cm="1">
        <f t="array" ref="O2063">_xlfn.IFS(orders[[#This Row],[Customer Gender]] = "M", "Male",orders[[#This Row],[Customer Gender]] = "F", "Female",orders[[#This Row],[Customer Gender]] = "O", "Others",TRUE,"Unknown")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 - orders[[#This Row],[Order Date]]</f>
        <v>6</v>
      </c>
      <c r="N2064">
        <f>WEEKNUM(orders[[#This Row],[Order Date]])</f>
        <v>12</v>
      </c>
      <c r="O2064" t="str" cm="1">
        <f t="array" ref="O2064">_xlfn.IFS(orders[[#This Row],[Customer Gender]] = "M", "Male",orders[[#This Row],[Customer Gender]] = "F", "Female",orders[[#This Row],[Customer Gender]] = "O", "Others",TRUE,"Unknown")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 - orders[[#This Row],[Order Date]]</f>
        <v>2</v>
      </c>
      <c r="N2065">
        <f>WEEKNUM(orders[[#This Row],[Order Date]])</f>
        <v>12</v>
      </c>
      <c r="O2065" t="str" cm="1">
        <f t="array" ref="O2065">_xlfn.IFS(orders[[#This Row],[Customer Gender]] = "M", "Male",orders[[#This Row],[Customer Gender]] = "F", "Female",orders[[#This Row],[Customer Gender]] = "O", "Others",TRUE,"Unknown")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 - orders[[#This Row],[Order Date]]</f>
        <v>1</v>
      </c>
      <c r="N2066">
        <f>WEEKNUM(orders[[#This Row],[Order Date]])</f>
        <v>12</v>
      </c>
      <c r="O2066" t="str" cm="1">
        <f t="array" ref="O2066">_xlfn.IFS(orders[[#This Row],[Customer Gender]] = "M", "Male",orders[[#This Row],[Customer Gender]] = "F", "Female",orders[[#This Row],[Customer Gender]] = "O", "Others",TRUE,"Unknown")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 - orders[[#This Row],[Order Date]]</f>
        <v>1</v>
      </c>
      <c r="N2067">
        <f>WEEKNUM(orders[[#This Row],[Order Date]])</f>
        <v>12</v>
      </c>
      <c r="O2067" t="str" cm="1">
        <f t="array" ref="O2067">_xlfn.IFS(orders[[#This Row],[Customer Gender]] = "M", "Male",orders[[#This Row],[Customer Gender]] = "F", "Female",orders[[#This Row],[Customer Gender]] = "O", "Others",TRUE,"Unknown")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 - orders[[#This Row],[Order Date]]</f>
        <v>3</v>
      </c>
      <c r="N2068">
        <f>WEEKNUM(orders[[#This Row],[Order Date]])</f>
        <v>12</v>
      </c>
      <c r="O2068" t="str" cm="1">
        <f t="array" ref="O2068">_xlfn.IFS(orders[[#This Row],[Customer Gender]] = "M", "Male",orders[[#This Row],[Customer Gender]] = "F", "Female",orders[[#This Row],[Customer Gender]] = "O", "Others",TRUE,"Unknown")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 - orders[[#This Row],[Order Date]]</f>
        <v>2</v>
      </c>
      <c r="N2069">
        <f>WEEKNUM(orders[[#This Row],[Order Date]])</f>
        <v>12</v>
      </c>
      <c r="O2069" t="str" cm="1">
        <f t="array" ref="O2069">_xlfn.IFS(orders[[#This Row],[Customer Gender]] = "M", "Male",orders[[#This Row],[Customer Gender]] = "F", "Female",orders[[#This Row],[Customer Gender]] = "O", "Others",TRUE,"Unknown")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 - orders[[#This Row],[Order Date]]</f>
        <v>2</v>
      </c>
      <c r="N2070">
        <f>WEEKNUM(orders[[#This Row],[Order Date]])</f>
        <v>12</v>
      </c>
      <c r="O2070" t="str" cm="1">
        <f t="array" ref="O2070">_xlfn.IFS(orders[[#This Row],[Customer Gender]] = "M", "Male",orders[[#This Row],[Customer Gender]] = "F", "Female",orders[[#This Row],[Customer Gender]] = "O", "Others",TRUE,"Unknown")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 - orders[[#This Row],[Order Date]]</f>
        <v>2</v>
      </c>
      <c r="N2071">
        <f>WEEKNUM(orders[[#This Row],[Order Date]])</f>
        <v>12</v>
      </c>
      <c r="O2071" t="str" cm="1">
        <f t="array" ref="O2071">_xlfn.IFS(orders[[#This Row],[Customer Gender]] = "M", "Male",orders[[#This Row],[Customer Gender]] = "F", "Female",orders[[#This Row],[Customer Gender]] = "O", "Others",TRUE,"Unknown")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 - orders[[#This Row],[Order Date]]</f>
        <v>1</v>
      </c>
      <c r="N2072">
        <f>WEEKNUM(orders[[#This Row],[Order Date]])</f>
        <v>12</v>
      </c>
      <c r="O2072" t="str" cm="1">
        <f t="array" ref="O2072">_xlfn.IFS(orders[[#This Row],[Customer Gender]] = "M", "Male",orders[[#This Row],[Customer Gender]] = "F", "Female",orders[[#This Row],[Customer Gender]] = "O", "Others",TRUE,"Unknown")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 - orders[[#This Row],[Order Date]]</f>
        <v>5</v>
      </c>
      <c r="N2073">
        <f>WEEKNUM(orders[[#This Row],[Order Date]])</f>
        <v>12</v>
      </c>
      <c r="O2073" t="str" cm="1">
        <f t="array" ref="O2073">_xlfn.IFS(orders[[#This Row],[Customer Gender]] = "M", "Male",orders[[#This Row],[Customer Gender]] = "F", "Female",orders[[#This Row],[Customer Gender]] = "O", "Others",TRUE,"Unknown")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 - orders[[#This Row],[Order Date]]</f>
        <v>2</v>
      </c>
      <c r="N2074">
        <f>WEEKNUM(orders[[#This Row],[Order Date]])</f>
        <v>12</v>
      </c>
      <c r="O2074" t="str" cm="1">
        <f t="array" ref="O2074">_xlfn.IFS(orders[[#This Row],[Customer Gender]] = "M", "Male",orders[[#This Row],[Customer Gender]] = "F", "Female",orders[[#This Row],[Customer Gender]] = "O", "Others",TRUE,"Unknown")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 - orders[[#This Row],[Order Date]]</f>
        <v>1</v>
      </c>
      <c r="N2075">
        <f>WEEKNUM(orders[[#This Row],[Order Date]])</f>
        <v>12</v>
      </c>
      <c r="O2075" t="str" cm="1">
        <f t="array" ref="O2075">_xlfn.IFS(orders[[#This Row],[Customer Gender]] = "M", "Male",orders[[#This Row],[Customer Gender]] = "F", "Female",orders[[#This Row],[Customer Gender]] = "O", "Others",TRUE,"Unknown")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 - orders[[#This Row],[Order Date]]</f>
        <v>2</v>
      </c>
      <c r="N2076">
        <f>WEEKNUM(orders[[#This Row],[Order Date]])</f>
        <v>12</v>
      </c>
      <c r="O2076" t="str" cm="1">
        <f t="array" ref="O2076">_xlfn.IFS(orders[[#This Row],[Customer Gender]] = "M", "Male",orders[[#This Row],[Customer Gender]] = "F", "Female",orders[[#This Row],[Customer Gender]] = "O", "Others",TRUE,"Unknown")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 - orders[[#This Row],[Order Date]]</f>
        <v>0</v>
      </c>
      <c r="N2077">
        <f>WEEKNUM(orders[[#This Row],[Order Date]])</f>
        <v>12</v>
      </c>
      <c r="O2077" t="str" cm="1">
        <f t="array" ref="O2077">_xlfn.IFS(orders[[#This Row],[Customer Gender]] = "M", "Male",orders[[#This Row],[Customer Gender]] = "F", "Female",orders[[#This Row],[Customer Gender]] = "O", "Others",TRUE,"Unknown")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 - orders[[#This Row],[Order Date]]</f>
        <v>2</v>
      </c>
      <c r="N2078">
        <f>WEEKNUM(orders[[#This Row],[Order Date]])</f>
        <v>12</v>
      </c>
      <c r="O2078" t="str" cm="1">
        <f t="array" ref="O2078">_xlfn.IFS(orders[[#This Row],[Customer Gender]] = "M", "Male",orders[[#This Row],[Customer Gender]] = "F", "Female",orders[[#This Row],[Customer Gender]] = "O", "Others",TRUE,"Unknown")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 - orders[[#This Row],[Order Date]]</f>
        <v>2</v>
      </c>
      <c r="N2079">
        <f>WEEKNUM(orders[[#This Row],[Order Date]])</f>
        <v>12</v>
      </c>
      <c r="O2079" t="str" cm="1">
        <f t="array" ref="O2079">_xlfn.IFS(orders[[#This Row],[Customer Gender]] = "M", "Male",orders[[#This Row],[Customer Gender]] = "F", "Female",orders[[#This Row],[Customer Gender]] = "O", "Others",TRUE,"Unknown")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 - orders[[#This Row],[Order Date]]</f>
        <v>1</v>
      </c>
      <c r="N2080">
        <f>WEEKNUM(orders[[#This Row],[Order Date]])</f>
        <v>12</v>
      </c>
      <c r="O2080" t="str" cm="1">
        <f t="array" ref="O2080">_xlfn.IFS(orders[[#This Row],[Customer Gender]] = "M", "Male",orders[[#This Row],[Customer Gender]] = "F", "Female",orders[[#This Row],[Customer Gender]] = "O", "Others",TRUE,"Unknown")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 - orders[[#This Row],[Order Date]]</f>
        <v>1</v>
      </c>
      <c r="N2081">
        <f>WEEKNUM(orders[[#This Row],[Order Date]])</f>
        <v>12</v>
      </c>
      <c r="O2081" t="str" cm="1">
        <f t="array" ref="O2081">_xlfn.IFS(orders[[#This Row],[Customer Gender]] = "M", "Male",orders[[#This Row],[Customer Gender]] = "F", "Female",orders[[#This Row],[Customer Gender]] = "O", "Others",TRUE,"Unknown")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 - orders[[#This Row],[Order Date]]</f>
        <v>3</v>
      </c>
      <c r="N2082">
        <f>WEEKNUM(orders[[#This Row],[Order Date]])</f>
        <v>12</v>
      </c>
      <c r="O2082" t="str" cm="1">
        <f t="array" ref="O2082">_xlfn.IFS(orders[[#This Row],[Customer Gender]] = "M", "Male",orders[[#This Row],[Customer Gender]] = "F", "Female",orders[[#This Row],[Customer Gender]] = "O", "Others",TRUE,"Unknown")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 - orders[[#This Row],[Order Date]]</f>
        <v>2</v>
      </c>
      <c r="N2083">
        <f>WEEKNUM(orders[[#This Row],[Order Date]])</f>
        <v>12</v>
      </c>
      <c r="O2083" t="str" cm="1">
        <f t="array" ref="O2083">_xlfn.IFS(orders[[#This Row],[Customer Gender]] = "M", "Male",orders[[#This Row],[Customer Gender]] = "F", "Female",orders[[#This Row],[Customer Gender]] = "O", "Others",TRUE,"Unknown")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 - orders[[#This Row],[Order Date]]</f>
        <v>4</v>
      </c>
      <c r="N2084">
        <f>WEEKNUM(orders[[#This Row],[Order Date]])</f>
        <v>12</v>
      </c>
      <c r="O2084" t="str" cm="1">
        <f t="array" ref="O2084">_xlfn.IFS(orders[[#This Row],[Customer Gender]] = "M", "Male",orders[[#This Row],[Customer Gender]] = "F", "Female",orders[[#This Row],[Customer Gender]] = "O", "Others",TRUE,"Unknown")</f>
        <v>Others</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 - orders[[#This Row],[Order Date]]</f>
        <v>7</v>
      </c>
      <c r="N2085">
        <f>WEEKNUM(orders[[#This Row],[Order Date]])</f>
        <v>12</v>
      </c>
      <c r="O2085" t="str" cm="1">
        <f t="array" ref="O2085">_xlfn.IFS(orders[[#This Row],[Customer Gender]] = "M", "Male",orders[[#This Row],[Customer Gender]] = "F", "Female",orders[[#This Row],[Customer Gender]] = "O", "Others",TRUE,"Unknown")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 - orders[[#This Row],[Order Date]]</f>
        <v>1</v>
      </c>
      <c r="N2086">
        <f>WEEKNUM(orders[[#This Row],[Order Date]])</f>
        <v>12</v>
      </c>
      <c r="O2086" t="str" cm="1">
        <f t="array" ref="O2086">_xlfn.IFS(orders[[#This Row],[Customer Gender]] = "M", "Male",orders[[#This Row],[Customer Gender]] = "F", "Female",orders[[#This Row],[Customer Gender]] = "O", "Others",TRUE,"Unknown")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 - orders[[#This Row],[Order Date]]</f>
        <v>2</v>
      </c>
      <c r="N2087">
        <f>WEEKNUM(orders[[#This Row],[Order Date]])</f>
        <v>12</v>
      </c>
      <c r="O2087" t="str" cm="1">
        <f t="array" ref="O2087">_xlfn.IFS(orders[[#This Row],[Customer Gender]] = "M", "Male",orders[[#This Row],[Customer Gender]] = "F", "Female",orders[[#This Row],[Customer Gender]] = "O", "Others",TRUE,"Unknown")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 - orders[[#This Row],[Order Date]]</f>
        <v>1</v>
      </c>
      <c r="N2088">
        <f>WEEKNUM(orders[[#This Row],[Order Date]])</f>
        <v>12</v>
      </c>
      <c r="O2088" t="str" cm="1">
        <f t="array" ref="O2088">_xlfn.IFS(orders[[#This Row],[Customer Gender]] = "M", "Male",orders[[#This Row],[Customer Gender]] = "F", "Female",orders[[#This Row],[Customer Gender]] = "O", "Others",TRUE,"Unknown")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 - orders[[#This Row],[Order Date]]</f>
        <v>3</v>
      </c>
      <c r="N2089">
        <f>WEEKNUM(orders[[#This Row],[Order Date]])</f>
        <v>12</v>
      </c>
      <c r="O2089" t="str" cm="1">
        <f t="array" ref="O2089">_xlfn.IFS(orders[[#This Row],[Customer Gender]] = "M", "Male",orders[[#This Row],[Customer Gender]] = "F", "Female",orders[[#This Row],[Customer Gender]] = "O", "Others",TRUE,"Unknown")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 - orders[[#This Row],[Order Date]]</f>
        <v>4</v>
      </c>
      <c r="N2090">
        <f>WEEKNUM(orders[[#This Row],[Order Date]])</f>
        <v>12</v>
      </c>
      <c r="O2090" t="str" cm="1">
        <f t="array" ref="O2090">_xlfn.IFS(orders[[#This Row],[Customer Gender]] = "M", "Male",orders[[#This Row],[Customer Gender]] = "F", "Female",orders[[#This Row],[Customer Gender]] = "O", "Others",TRUE,"Unknown")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 - orders[[#This Row],[Order Date]]</f>
        <v>2</v>
      </c>
      <c r="N2091">
        <f>WEEKNUM(orders[[#This Row],[Order Date]])</f>
        <v>12</v>
      </c>
      <c r="O2091" t="str" cm="1">
        <f t="array" ref="O2091">_xlfn.IFS(orders[[#This Row],[Customer Gender]] = "M", "Male",orders[[#This Row],[Customer Gender]] = "F", "Female",orders[[#This Row],[Customer Gender]] = "O", "Others",TRUE,"Unknown")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 - orders[[#This Row],[Order Date]]</f>
        <v>4</v>
      </c>
      <c r="N2092">
        <f>WEEKNUM(orders[[#This Row],[Order Date]])</f>
        <v>12</v>
      </c>
      <c r="O2092" t="str" cm="1">
        <f t="array" ref="O2092">_xlfn.IFS(orders[[#This Row],[Customer Gender]] = "M", "Male",orders[[#This Row],[Customer Gender]] = "F", "Female",orders[[#This Row],[Customer Gender]] = "O", "Others",TRUE,"Unknown")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 - orders[[#This Row],[Order Date]]</f>
        <v>4</v>
      </c>
      <c r="N2093">
        <f>WEEKNUM(orders[[#This Row],[Order Date]])</f>
        <v>12</v>
      </c>
      <c r="O2093" t="str" cm="1">
        <f t="array" ref="O2093">_xlfn.IFS(orders[[#This Row],[Customer Gender]] = "M", "Male",orders[[#This Row],[Customer Gender]] = "F", "Female",orders[[#This Row],[Customer Gender]] = "O", "Others",TRUE,"Unknown")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 - orders[[#This Row],[Order Date]]</f>
        <v>1</v>
      </c>
      <c r="N2094">
        <f>WEEKNUM(orders[[#This Row],[Order Date]])</f>
        <v>12</v>
      </c>
      <c r="O2094" t="str" cm="1">
        <f t="array" ref="O2094">_xlfn.IFS(orders[[#This Row],[Customer Gender]] = "M", "Male",orders[[#This Row],[Customer Gender]] = "F", "Female",orders[[#This Row],[Customer Gender]] = "O", "Others",TRUE,"Unknown")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 - orders[[#This Row],[Order Date]]</f>
        <v>3</v>
      </c>
      <c r="N2095">
        <f>WEEKNUM(orders[[#This Row],[Order Date]])</f>
        <v>12</v>
      </c>
      <c r="O2095" t="str" cm="1">
        <f t="array" ref="O2095">_xlfn.IFS(orders[[#This Row],[Customer Gender]] = "M", "Male",orders[[#This Row],[Customer Gender]] = "F", "Female",orders[[#This Row],[Customer Gender]] = "O", "Others",TRUE,"Unknown")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 - orders[[#This Row],[Order Date]]</f>
        <v>3</v>
      </c>
      <c r="N2096">
        <f>WEEKNUM(orders[[#This Row],[Order Date]])</f>
        <v>12</v>
      </c>
      <c r="O2096" t="str" cm="1">
        <f t="array" ref="O2096">_xlfn.IFS(orders[[#This Row],[Customer Gender]] = "M", "Male",orders[[#This Row],[Customer Gender]] = "F", "Female",orders[[#This Row],[Customer Gender]] = "O", "Others",TRUE,"Unknown")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 - orders[[#This Row],[Order Date]]</f>
        <v>0</v>
      </c>
      <c r="N2097">
        <f>WEEKNUM(orders[[#This Row],[Order Date]])</f>
        <v>12</v>
      </c>
      <c r="O2097" t="str" cm="1">
        <f t="array" ref="O2097">_xlfn.IFS(orders[[#This Row],[Customer Gender]] = "M", "Male",orders[[#This Row],[Customer Gender]] = "F", "Female",orders[[#This Row],[Customer Gender]] = "O", "Others",TRUE,"Unknown")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 - orders[[#This Row],[Order Date]]</f>
        <v>1</v>
      </c>
      <c r="N2098">
        <f>WEEKNUM(orders[[#This Row],[Order Date]])</f>
        <v>12</v>
      </c>
      <c r="O2098" t="str" cm="1">
        <f t="array" ref="O2098">_xlfn.IFS(orders[[#This Row],[Customer Gender]] = "M", "Male",orders[[#This Row],[Customer Gender]] = "F", "Female",orders[[#This Row],[Customer Gender]] = "O", "Others",TRUE,"Unknown")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 - orders[[#This Row],[Order Date]]</f>
        <v>1</v>
      </c>
      <c r="N2099">
        <f>WEEKNUM(orders[[#This Row],[Order Date]])</f>
        <v>12</v>
      </c>
      <c r="O2099" t="str" cm="1">
        <f t="array" ref="O2099">_xlfn.IFS(orders[[#This Row],[Customer Gender]] = "M", "Male",orders[[#This Row],[Customer Gender]] = "F", "Female",orders[[#This Row],[Customer Gender]] = "O", "Others",TRUE,"Unknown")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 - orders[[#This Row],[Order Date]]</f>
        <v>1</v>
      </c>
      <c r="N2100">
        <f>WEEKNUM(orders[[#This Row],[Order Date]])</f>
        <v>12</v>
      </c>
      <c r="O2100" t="str" cm="1">
        <f t="array" ref="O2100">_xlfn.IFS(orders[[#This Row],[Customer Gender]] = "M", "Male",orders[[#This Row],[Customer Gender]] = "F", "Female",orders[[#This Row],[Customer Gender]] = "O", "Others",TRUE,"Unknown")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 - orders[[#This Row],[Order Date]]</f>
        <v>1</v>
      </c>
      <c r="N2101">
        <f>WEEKNUM(orders[[#This Row],[Order Date]])</f>
        <v>12</v>
      </c>
      <c r="O2101" t="str" cm="1">
        <f t="array" ref="O2101">_xlfn.IFS(orders[[#This Row],[Customer Gender]] = "M", "Male",orders[[#This Row],[Customer Gender]] = "F", "Female",orders[[#This Row],[Customer Gender]] = "O", "Others",TRUE,"Unknown")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 - orders[[#This Row],[Order Date]]</f>
        <v>1</v>
      </c>
      <c r="N2102">
        <f>WEEKNUM(orders[[#This Row],[Order Date]])</f>
        <v>12</v>
      </c>
      <c r="O2102" t="str" cm="1">
        <f t="array" ref="O2102">_xlfn.IFS(orders[[#This Row],[Customer Gender]] = "M", "Male",orders[[#This Row],[Customer Gender]] = "F", "Female",orders[[#This Row],[Customer Gender]] = "O", "Others",TRUE,"Unknown")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 - orders[[#This Row],[Order Date]]</f>
        <v>1</v>
      </c>
      <c r="N2103">
        <f>WEEKNUM(orders[[#This Row],[Order Date]])</f>
        <v>12</v>
      </c>
      <c r="O2103" t="str" cm="1">
        <f t="array" ref="O2103">_xlfn.IFS(orders[[#This Row],[Customer Gender]] = "M", "Male",orders[[#This Row],[Customer Gender]] = "F", "Female",orders[[#This Row],[Customer Gender]] = "O", "Others",TRUE,"Unknown")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 - orders[[#This Row],[Order Date]]</f>
        <v>1</v>
      </c>
      <c r="N2104">
        <f>WEEKNUM(orders[[#This Row],[Order Date]])</f>
        <v>12</v>
      </c>
      <c r="O2104" t="str" cm="1">
        <f t="array" ref="O2104">_xlfn.IFS(orders[[#This Row],[Customer Gender]] = "M", "Male",orders[[#This Row],[Customer Gender]] = "F", "Female",orders[[#This Row],[Customer Gender]] = "O", "Others",TRUE,"Unknown")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 - orders[[#This Row],[Order Date]]</f>
        <v>2</v>
      </c>
      <c r="N2105">
        <f>WEEKNUM(orders[[#This Row],[Order Date]])</f>
        <v>12</v>
      </c>
      <c r="O2105" t="str" cm="1">
        <f t="array" ref="O2105">_xlfn.IFS(orders[[#This Row],[Customer Gender]] = "M", "Male",orders[[#This Row],[Customer Gender]] = "F", "Female",orders[[#This Row],[Customer Gender]] = "O", "Others",TRUE,"Unknown")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 - orders[[#This Row],[Order Date]]</f>
        <v>4</v>
      </c>
      <c r="N2106">
        <f>WEEKNUM(orders[[#This Row],[Order Date]])</f>
        <v>12</v>
      </c>
      <c r="O2106" t="str" cm="1">
        <f t="array" ref="O2106">_xlfn.IFS(orders[[#This Row],[Customer Gender]] = "M", "Male",orders[[#This Row],[Customer Gender]] = "F", "Female",orders[[#This Row],[Customer Gender]] = "O", "Others",TRUE,"Unknown")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 - orders[[#This Row],[Order Date]]</f>
        <v>2</v>
      </c>
      <c r="N2107">
        <f>WEEKNUM(orders[[#This Row],[Order Date]])</f>
        <v>12</v>
      </c>
      <c r="O2107" t="str" cm="1">
        <f t="array" ref="O2107">_xlfn.IFS(orders[[#This Row],[Customer Gender]] = "M", "Male",orders[[#This Row],[Customer Gender]] = "F", "Female",orders[[#This Row],[Customer Gender]] = "O", "Others",TRUE,"Unknown")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 - orders[[#This Row],[Order Date]]</f>
        <v>1</v>
      </c>
      <c r="N2108">
        <f>WEEKNUM(orders[[#This Row],[Order Date]])</f>
        <v>12</v>
      </c>
      <c r="O2108" t="str" cm="1">
        <f t="array" ref="O2108">_xlfn.IFS(orders[[#This Row],[Customer Gender]] = "M", "Male",orders[[#This Row],[Customer Gender]] = "F", "Female",orders[[#This Row],[Customer Gender]] = "O", "Others",TRUE,"Unknown")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 - orders[[#This Row],[Order Date]]</f>
        <v>4</v>
      </c>
      <c r="N2109">
        <f>WEEKNUM(orders[[#This Row],[Order Date]])</f>
        <v>12</v>
      </c>
      <c r="O2109" t="str" cm="1">
        <f t="array" ref="O2109">_xlfn.IFS(orders[[#This Row],[Customer Gender]] = "M", "Male",orders[[#This Row],[Customer Gender]] = "F", "Female",orders[[#This Row],[Customer Gender]] = "O", "Others",TRUE,"Unknown")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 - orders[[#This Row],[Order Date]]</f>
        <v>1</v>
      </c>
      <c r="N2110">
        <f>WEEKNUM(orders[[#This Row],[Order Date]])</f>
        <v>12</v>
      </c>
      <c r="O2110" t="str" cm="1">
        <f t="array" ref="O2110">_xlfn.IFS(orders[[#This Row],[Customer Gender]] = "M", "Male",orders[[#This Row],[Customer Gender]] = "F", "Female",orders[[#This Row],[Customer Gender]] = "O", "Others",TRUE,"Unknown")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 - orders[[#This Row],[Order Date]]</f>
        <v>2</v>
      </c>
      <c r="N2111">
        <f>WEEKNUM(orders[[#This Row],[Order Date]])</f>
        <v>12</v>
      </c>
      <c r="O2111" t="str" cm="1">
        <f t="array" ref="O2111">_xlfn.IFS(orders[[#This Row],[Customer Gender]] = "M", "Male",orders[[#This Row],[Customer Gender]] = "F", "Female",orders[[#This Row],[Customer Gender]] = "O", "Others",TRUE,"Unknown")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 - orders[[#This Row],[Order Date]]</f>
        <v>1</v>
      </c>
      <c r="N2112">
        <f>WEEKNUM(orders[[#This Row],[Order Date]])</f>
        <v>12</v>
      </c>
      <c r="O2112" t="str" cm="1">
        <f t="array" ref="O2112">_xlfn.IFS(orders[[#This Row],[Customer Gender]] = "M", "Male",orders[[#This Row],[Customer Gender]] = "F", "Female",orders[[#This Row],[Customer Gender]] = "O", "Others",TRUE,"Unknown")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 - orders[[#This Row],[Order Date]]</f>
        <v>1</v>
      </c>
      <c r="N2113">
        <f>WEEKNUM(orders[[#This Row],[Order Date]])</f>
        <v>12</v>
      </c>
      <c r="O2113" t="str" cm="1">
        <f t="array" ref="O2113">_xlfn.IFS(orders[[#This Row],[Customer Gender]] = "M", "Male",orders[[#This Row],[Customer Gender]] = "F", "Female",orders[[#This Row],[Customer Gender]] = "O", "Others",TRUE,"Unknown")</f>
        <v>Others</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 - orders[[#This Row],[Order Date]]</f>
        <v>1</v>
      </c>
      <c r="N2114">
        <f>WEEKNUM(orders[[#This Row],[Order Date]])</f>
        <v>12</v>
      </c>
      <c r="O2114" t="str" cm="1">
        <f t="array" ref="O2114">_xlfn.IFS(orders[[#This Row],[Customer Gender]] = "M", "Male",orders[[#This Row],[Customer Gender]] = "F", "Female",orders[[#This Row],[Customer Gender]] = "O", "Others",TRUE,"Unknown")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 - orders[[#This Row],[Order Date]]</f>
        <v>3</v>
      </c>
      <c r="N2115">
        <f>WEEKNUM(orders[[#This Row],[Order Date]])</f>
        <v>12</v>
      </c>
      <c r="O2115" t="str" cm="1">
        <f t="array" ref="O2115">_xlfn.IFS(orders[[#This Row],[Customer Gender]] = "M", "Male",orders[[#This Row],[Customer Gender]] = "F", "Female",orders[[#This Row],[Customer Gender]] = "O", "Others",TRUE,"Unknown")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 - orders[[#This Row],[Order Date]]</f>
        <v>5</v>
      </c>
      <c r="N2116">
        <f>WEEKNUM(orders[[#This Row],[Order Date]])</f>
        <v>12</v>
      </c>
      <c r="O2116" t="str" cm="1">
        <f t="array" ref="O2116">_xlfn.IFS(orders[[#This Row],[Customer Gender]] = "M", "Male",orders[[#This Row],[Customer Gender]] = "F", "Female",orders[[#This Row],[Customer Gender]] = "O", "Others",TRUE,"Unknown")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 - orders[[#This Row],[Order Date]]</f>
        <v>1</v>
      </c>
      <c r="N2117">
        <f>WEEKNUM(orders[[#This Row],[Order Date]])</f>
        <v>12</v>
      </c>
      <c r="O2117" t="str" cm="1">
        <f t="array" ref="O2117">_xlfn.IFS(orders[[#This Row],[Customer Gender]] = "M", "Male",orders[[#This Row],[Customer Gender]] = "F", "Female",orders[[#This Row],[Customer Gender]] = "O", "Others",TRUE,"Unknown")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 - orders[[#This Row],[Order Date]]</f>
        <v>4</v>
      </c>
      <c r="N2118">
        <f>WEEKNUM(orders[[#This Row],[Order Date]])</f>
        <v>12</v>
      </c>
      <c r="O2118" t="str" cm="1">
        <f t="array" ref="O2118">_xlfn.IFS(orders[[#This Row],[Customer Gender]] = "M", "Male",orders[[#This Row],[Customer Gender]] = "F", "Female",orders[[#This Row],[Customer Gender]] = "O", "Others",TRUE,"Unknown")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 - orders[[#This Row],[Order Date]]</f>
        <v>1</v>
      </c>
      <c r="N2119">
        <f>WEEKNUM(orders[[#This Row],[Order Date]])</f>
        <v>12</v>
      </c>
      <c r="O2119" t="str" cm="1">
        <f t="array" ref="O2119">_xlfn.IFS(orders[[#This Row],[Customer Gender]] = "M", "Male",orders[[#This Row],[Customer Gender]] = "F", "Female",orders[[#This Row],[Customer Gender]] = "O", "Others",TRUE,"Unknown")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 - orders[[#This Row],[Order Date]]</f>
        <v>1</v>
      </c>
      <c r="N2120">
        <f>WEEKNUM(orders[[#This Row],[Order Date]])</f>
        <v>12</v>
      </c>
      <c r="O2120" t="str" cm="1">
        <f t="array" ref="O2120">_xlfn.IFS(orders[[#This Row],[Customer Gender]] = "M", "Male",orders[[#This Row],[Customer Gender]] = "F", "Female",orders[[#This Row],[Customer Gender]] = "O", "Others",TRUE,"Unknown")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 - orders[[#This Row],[Order Date]]</f>
        <v>0</v>
      </c>
      <c r="N2121">
        <f>WEEKNUM(orders[[#This Row],[Order Date]])</f>
        <v>12</v>
      </c>
      <c r="O2121" t="str" cm="1">
        <f t="array" ref="O2121">_xlfn.IFS(orders[[#This Row],[Customer Gender]] = "M", "Male",orders[[#This Row],[Customer Gender]] = "F", "Female",orders[[#This Row],[Customer Gender]] = "O", "Others",TRUE,"Unknown")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 - orders[[#This Row],[Order Date]]</f>
        <v>1</v>
      </c>
      <c r="N2122">
        <f>WEEKNUM(orders[[#This Row],[Order Date]])</f>
        <v>12</v>
      </c>
      <c r="O2122" t="str" cm="1">
        <f t="array" ref="O2122">_xlfn.IFS(orders[[#This Row],[Customer Gender]] = "M", "Male",orders[[#This Row],[Customer Gender]] = "F", "Female",orders[[#This Row],[Customer Gender]] = "O", "Others",TRUE,"Unknown")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 - orders[[#This Row],[Order Date]]</f>
        <v>13</v>
      </c>
      <c r="N2123">
        <f>WEEKNUM(orders[[#This Row],[Order Date]])</f>
        <v>12</v>
      </c>
      <c r="O2123" t="str" cm="1">
        <f t="array" ref="O2123">_xlfn.IFS(orders[[#This Row],[Customer Gender]] = "M", "Male",orders[[#This Row],[Customer Gender]] = "F", "Female",orders[[#This Row],[Customer Gender]] = "O", "Others",TRUE,"Unknown")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 - orders[[#This Row],[Order Date]]</f>
        <v>1</v>
      </c>
      <c r="N2124">
        <f>WEEKNUM(orders[[#This Row],[Order Date]])</f>
        <v>12</v>
      </c>
      <c r="O2124" t="str" cm="1">
        <f t="array" ref="O2124">_xlfn.IFS(orders[[#This Row],[Customer Gender]] = "M", "Male",orders[[#This Row],[Customer Gender]] = "F", "Female",orders[[#This Row],[Customer Gender]] = "O", "Others",TRUE,"Unknown")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 - orders[[#This Row],[Order Date]]</f>
        <v>1</v>
      </c>
      <c r="N2125">
        <f>WEEKNUM(orders[[#This Row],[Order Date]])</f>
        <v>12</v>
      </c>
      <c r="O2125" t="str" cm="1">
        <f t="array" ref="O2125">_xlfn.IFS(orders[[#This Row],[Customer Gender]] = "M", "Male",orders[[#This Row],[Customer Gender]] = "F", "Female",orders[[#This Row],[Customer Gender]] = "O", "Others",TRUE,"Unknown")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 - orders[[#This Row],[Order Date]]</f>
        <v>3</v>
      </c>
      <c r="N2126">
        <f>WEEKNUM(orders[[#This Row],[Order Date]])</f>
        <v>12</v>
      </c>
      <c r="O2126" t="str" cm="1">
        <f t="array" ref="O2126">_xlfn.IFS(orders[[#This Row],[Customer Gender]] = "M", "Male",orders[[#This Row],[Customer Gender]] = "F", "Female",orders[[#This Row],[Customer Gender]] = "O", "Others",TRUE,"Unknown")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 - orders[[#This Row],[Order Date]]</f>
        <v>3</v>
      </c>
      <c r="N2127">
        <f>WEEKNUM(orders[[#This Row],[Order Date]])</f>
        <v>12</v>
      </c>
      <c r="O2127" t="str" cm="1">
        <f t="array" ref="O2127">_xlfn.IFS(orders[[#This Row],[Customer Gender]] = "M", "Male",orders[[#This Row],[Customer Gender]] = "F", "Female",orders[[#This Row],[Customer Gender]] = "O", "Others",TRUE,"Unknown")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 - orders[[#This Row],[Order Date]]</f>
        <v>0</v>
      </c>
      <c r="N2128">
        <f>WEEKNUM(orders[[#This Row],[Order Date]])</f>
        <v>12</v>
      </c>
      <c r="O2128" t="str" cm="1">
        <f t="array" ref="O2128">_xlfn.IFS(orders[[#This Row],[Customer Gender]] = "M", "Male",orders[[#This Row],[Customer Gender]] = "F", "Female",orders[[#This Row],[Customer Gender]] = "O", "Others",TRUE,"Unknown")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 - orders[[#This Row],[Order Date]]</f>
        <v>6</v>
      </c>
      <c r="N2129">
        <f>WEEKNUM(orders[[#This Row],[Order Date]])</f>
        <v>12</v>
      </c>
      <c r="O2129" t="str" cm="1">
        <f t="array" ref="O2129">_xlfn.IFS(orders[[#This Row],[Customer Gender]] = "M", "Male",orders[[#This Row],[Customer Gender]] = "F", "Female",orders[[#This Row],[Customer Gender]] = "O", "Others",TRUE,"Unknown")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 - orders[[#This Row],[Order Date]]</f>
        <v>1</v>
      </c>
      <c r="N2130">
        <f>WEEKNUM(orders[[#This Row],[Order Date]])</f>
        <v>12</v>
      </c>
      <c r="O2130" t="str" cm="1">
        <f t="array" ref="O2130">_xlfn.IFS(orders[[#This Row],[Customer Gender]] = "M", "Male",orders[[#This Row],[Customer Gender]] = "F", "Female",orders[[#This Row],[Customer Gender]] = "O", "Others",TRUE,"Unknown")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 - orders[[#This Row],[Order Date]]</f>
        <v>1</v>
      </c>
      <c r="N2131">
        <f>WEEKNUM(orders[[#This Row],[Order Date]])</f>
        <v>12</v>
      </c>
      <c r="O2131" t="str" cm="1">
        <f t="array" ref="O2131">_xlfn.IFS(orders[[#This Row],[Customer Gender]] = "M", "Male",orders[[#This Row],[Customer Gender]] = "F", "Female",orders[[#This Row],[Customer Gender]] = "O", "Others",TRUE,"Unknown")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 - orders[[#This Row],[Order Date]]</f>
        <v>4</v>
      </c>
      <c r="N2132">
        <f>WEEKNUM(orders[[#This Row],[Order Date]])</f>
        <v>12</v>
      </c>
      <c r="O2132" t="str" cm="1">
        <f t="array" ref="O2132">_xlfn.IFS(orders[[#This Row],[Customer Gender]] = "M", "Male",orders[[#This Row],[Customer Gender]] = "F", "Female",orders[[#This Row],[Customer Gender]] = "O", "Others",TRUE,"Unknown")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 - orders[[#This Row],[Order Date]]</f>
        <v>3</v>
      </c>
      <c r="N2133">
        <f>WEEKNUM(orders[[#This Row],[Order Date]])</f>
        <v>12</v>
      </c>
      <c r="O2133" t="str" cm="1">
        <f t="array" ref="O2133">_xlfn.IFS(orders[[#This Row],[Customer Gender]] = "M", "Male",orders[[#This Row],[Customer Gender]] = "F", "Female",orders[[#This Row],[Customer Gender]] = "O", "Others",TRUE,"Unknown")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 - orders[[#This Row],[Order Date]]</f>
        <v>1</v>
      </c>
      <c r="N2134">
        <f>WEEKNUM(orders[[#This Row],[Order Date]])</f>
        <v>12</v>
      </c>
      <c r="O2134" t="str" cm="1">
        <f t="array" ref="O2134">_xlfn.IFS(orders[[#This Row],[Customer Gender]] = "M", "Male",orders[[#This Row],[Customer Gender]] = "F", "Female",orders[[#This Row],[Customer Gender]] = "O", "Others",TRUE,"Unknown")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 - orders[[#This Row],[Order Date]]</f>
        <v>6</v>
      </c>
      <c r="N2135">
        <f>WEEKNUM(orders[[#This Row],[Order Date]])</f>
        <v>12</v>
      </c>
      <c r="O2135" t="str" cm="1">
        <f t="array" ref="O2135">_xlfn.IFS(orders[[#This Row],[Customer Gender]] = "M", "Male",orders[[#This Row],[Customer Gender]] = "F", "Female",orders[[#This Row],[Customer Gender]] = "O", "Others",TRUE,"Unknown")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 - orders[[#This Row],[Order Date]]</f>
        <v>1</v>
      </c>
      <c r="N2136">
        <f>WEEKNUM(orders[[#This Row],[Order Date]])</f>
        <v>12</v>
      </c>
      <c r="O2136" t="str" cm="1">
        <f t="array" ref="O2136">_xlfn.IFS(orders[[#This Row],[Customer Gender]] = "M", "Male",orders[[#This Row],[Customer Gender]] = "F", "Female",orders[[#This Row],[Customer Gender]] = "O", "Others",TRUE,"Unknown")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 - orders[[#This Row],[Order Date]]</f>
        <v>2</v>
      </c>
      <c r="N2137">
        <f>WEEKNUM(orders[[#This Row],[Order Date]])</f>
        <v>12</v>
      </c>
      <c r="O2137" t="str" cm="1">
        <f t="array" ref="O2137">_xlfn.IFS(orders[[#This Row],[Customer Gender]] = "M", "Male",orders[[#This Row],[Customer Gender]] = "F", "Female",orders[[#This Row],[Customer Gender]] = "O", "Others",TRUE,"Unknown")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 - orders[[#This Row],[Order Date]]</f>
        <v>1</v>
      </c>
      <c r="N2138">
        <f>WEEKNUM(orders[[#This Row],[Order Date]])</f>
        <v>12</v>
      </c>
      <c r="O2138" t="str" cm="1">
        <f t="array" ref="O2138">_xlfn.IFS(orders[[#This Row],[Customer Gender]] = "M", "Male",orders[[#This Row],[Customer Gender]] = "F", "Female",orders[[#This Row],[Customer Gender]] = "O", "Others",TRUE,"Unknown")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 - orders[[#This Row],[Order Date]]</f>
        <v>3</v>
      </c>
      <c r="N2139">
        <f>WEEKNUM(orders[[#This Row],[Order Date]])</f>
        <v>12</v>
      </c>
      <c r="O2139" t="str" cm="1">
        <f t="array" ref="O2139">_xlfn.IFS(orders[[#This Row],[Customer Gender]] = "M", "Male",orders[[#This Row],[Customer Gender]] = "F", "Female",orders[[#This Row],[Customer Gender]] = "O", "Others",TRUE,"Unknown")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 - orders[[#This Row],[Order Date]]</f>
        <v>1</v>
      </c>
      <c r="N2140">
        <f>WEEKNUM(orders[[#This Row],[Order Date]])</f>
        <v>12</v>
      </c>
      <c r="O2140" t="str" cm="1">
        <f t="array" ref="O2140">_xlfn.IFS(orders[[#This Row],[Customer Gender]] = "M", "Male",orders[[#This Row],[Customer Gender]] = "F", "Female",orders[[#This Row],[Customer Gender]] = "O", "Others",TRUE,"Unknown")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 - orders[[#This Row],[Order Date]]</f>
        <v>1</v>
      </c>
      <c r="N2141">
        <f>WEEKNUM(orders[[#This Row],[Order Date]])</f>
        <v>12</v>
      </c>
      <c r="O2141" t="str" cm="1">
        <f t="array" ref="O2141">_xlfn.IFS(orders[[#This Row],[Customer Gender]] = "M", "Male",orders[[#This Row],[Customer Gender]] = "F", "Female",orders[[#This Row],[Customer Gender]] = "O", "Others",TRUE,"Unknown")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 - orders[[#This Row],[Order Date]]</f>
        <v>1</v>
      </c>
      <c r="N2142">
        <f>WEEKNUM(orders[[#This Row],[Order Date]])</f>
        <v>12</v>
      </c>
      <c r="O2142" t="str" cm="1">
        <f t="array" ref="O2142">_xlfn.IFS(orders[[#This Row],[Customer Gender]] = "M", "Male",orders[[#This Row],[Customer Gender]] = "F", "Female",orders[[#This Row],[Customer Gender]] = "O", "Others",TRUE,"Unknown")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 - orders[[#This Row],[Order Date]]</f>
        <v>3</v>
      </c>
      <c r="N2143">
        <f>WEEKNUM(orders[[#This Row],[Order Date]])</f>
        <v>12</v>
      </c>
      <c r="O2143" t="str" cm="1">
        <f t="array" ref="O2143">_xlfn.IFS(orders[[#This Row],[Customer Gender]] = "M", "Male",orders[[#This Row],[Customer Gender]] = "F", "Female",orders[[#This Row],[Customer Gender]] = "O", "Others",TRUE,"Unknown")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 - orders[[#This Row],[Order Date]]</f>
        <v>1</v>
      </c>
      <c r="N2144">
        <f>WEEKNUM(orders[[#This Row],[Order Date]])</f>
        <v>12</v>
      </c>
      <c r="O2144" t="str" cm="1">
        <f t="array" ref="O2144">_xlfn.IFS(orders[[#This Row],[Customer Gender]] = "M", "Male",orders[[#This Row],[Customer Gender]] = "F", "Female",orders[[#This Row],[Customer Gender]] = "O", "Others",TRUE,"Unknown")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 - orders[[#This Row],[Order Date]]</f>
        <v>1</v>
      </c>
      <c r="N2145">
        <f>WEEKNUM(orders[[#This Row],[Order Date]])</f>
        <v>12</v>
      </c>
      <c r="O2145" t="str" cm="1">
        <f t="array" ref="O2145">_xlfn.IFS(orders[[#This Row],[Customer Gender]] = "M", "Male",orders[[#This Row],[Customer Gender]] = "F", "Female",orders[[#This Row],[Customer Gender]] = "O", "Others",TRUE,"Unknown")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 - orders[[#This Row],[Order Date]]</f>
        <v>1</v>
      </c>
      <c r="N2146">
        <f>WEEKNUM(orders[[#This Row],[Order Date]])</f>
        <v>12</v>
      </c>
      <c r="O2146" t="str" cm="1">
        <f t="array" ref="O2146">_xlfn.IFS(orders[[#This Row],[Customer Gender]] = "M", "Male",orders[[#This Row],[Customer Gender]] = "F", "Female",orders[[#This Row],[Customer Gender]] = "O", "Others",TRUE,"Unknown")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 - orders[[#This Row],[Order Date]]</f>
        <v>3</v>
      </c>
      <c r="N2147">
        <f>WEEKNUM(orders[[#This Row],[Order Date]])</f>
        <v>12</v>
      </c>
      <c r="O2147" t="str" cm="1">
        <f t="array" ref="O2147">_xlfn.IFS(orders[[#This Row],[Customer Gender]] = "M", "Male",orders[[#This Row],[Customer Gender]] = "F", "Female",orders[[#This Row],[Customer Gender]] = "O", "Others",TRUE,"Unknown")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 - orders[[#This Row],[Order Date]]</f>
        <v>14</v>
      </c>
      <c r="N2148">
        <f>WEEKNUM(orders[[#This Row],[Order Date]])</f>
        <v>12</v>
      </c>
      <c r="O2148" t="str" cm="1">
        <f t="array" ref="O2148">_xlfn.IFS(orders[[#This Row],[Customer Gender]] = "M", "Male",orders[[#This Row],[Customer Gender]] = "F", "Female",orders[[#This Row],[Customer Gender]] = "O", "Others",TRUE,"Unknown")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 - orders[[#This Row],[Order Date]]</f>
        <v>0</v>
      </c>
      <c r="N2149">
        <f>WEEKNUM(orders[[#This Row],[Order Date]])</f>
        <v>12</v>
      </c>
      <c r="O2149" t="str" cm="1">
        <f t="array" ref="O2149">_xlfn.IFS(orders[[#This Row],[Customer Gender]] = "M", "Male",orders[[#This Row],[Customer Gender]] = "F", "Female",orders[[#This Row],[Customer Gender]] = "O", "Others",TRUE,"Unknown")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 - orders[[#This Row],[Order Date]]</f>
        <v>8</v>
      </c>
      <c r="N2150">
        <f>WEEKNUM(orders[[#This Row],[Order Date]])</f>
        <v>12</v>
      </c>
      <c r="O2150" t="str" cm="1">
        <f t="array" ref="O2150">_xlfn.IFS(orders[[#This Row],[Customer Gender]] = "M", "Male",orders[[#This Row],[Customer Gender]] = "F", "Female",orders[[#This Row],[Customer Gender]] = "O", "Others",TRUE,"Unknown")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 - orders[[#This Row],[Order Date]]</f>
        <v>3</v>
      </c>
      <c r="N2151">
        <f>WEEKNUM(orders[[#This Row],[Order Date]])</f>
        <v>12</v>
      </c>
      <c r="O2151" t="str" cm="1">
        <f t="array" ref="O2151">_xlfn.IFS(orders[[#This Row],[Customer Gender]] = "M", "Male",orders[[#This Row],[Customer Gender]] = "F", "Female",orders[[#This Row],[Customer Gender]] = "O", "Others",TRUE,"Unknown")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 - orders[[#This Row],[Order Date]]</f>
        <v>1</v>
      </c>
      <c r="N2152">
        <f>WEEKNUM(orders[[#This Row],[Order Date]])</f>
        <v>12</v>
      </c>
      <c r="O2152" t="str" cm="1">
        <f t="array" ref="O2152">_xlfn.IFS(orders[[#This Row],[Customer Gender]] = "M", "Male",orders[[#This Row],[Customer Gender]] = "F", "Female",orders[[#This Row],[Customer Gender]] = "O", "Others",TRUE,"Unknown")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 - orders[[#This Row],[Order Date]]</f>
        <v>0</v>
      </c>
      <c r="N2153">
        <f>WEEKNUM(orders[[#This Row],[Order Date]])</f>
        <v>12</v>
      </c>
      <c r="O2153" t="str" cm="1">
        <f t="array" ref="O2153">_xlfn.IFS(orders[[#This Row],[Customer Gender]] = "M", "Male",orders[[#This Row],[Customer Gender]] = "F", "Female",orders[[#This Row],[Customer Gender]] = "O", "Others",TRUE,"Unknown")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 - orders[[#This Row],[Order Date]]</f>
        <v>1</v>
      </c>
      <c r="N2154">
        <f>WEEKNUM(orders[[#This Row],[Order Date]])</f>
        <v>12</v>
      </c>
      <c r="O2154" t="str" cm="1">
        <f t="array" ref="O2154">_xlfn.IFS(orders[[#This Row],[Customer Gender]] = "M", "Male",orders[[#This Row],[Customer Gender]] = "F", "Female",orders[[#This Row],[Customer Gender]] = "O", "Others",TRUE,"Unknown")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 - orders[[#This Row],[Order Date]]</f>
        <v>1</v>
      </c>
      <c r="N2155">
        <f>WEEKNUM(orders[[#This Row],[Order Date]])</f>
        <v>12</v>
      </c>
      <c r="O2155" t="str" cm="1">
        <f t="array" ref="O2155">_xlfn.IFS(orders[[#This Row],[Customer Gender]] = "M", "Male",orders[[#This Row],[Customer Gender]] = "F", "Female",orders[[#This Row],[Customer Gender]] = "O", "Others",TRUE,"Unknown")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 - orders[[#This Row],[Order Date]]</f>
        <v>3</v>
      </c>
      <c r="N2156">
        <f>WEEKNUM(orders[[#This Row],[Order Date]])</f>
        <v>12</v>
      </c>
      <c r="O2156" t="str" cm="1">
        <f t="array" ref="O2156">_xlfn.IFS(orders[[#This Row],[Customer Gender]] = "M", "Male",orders[[#This Row],[Customer Gender]] = "F", "Female",orders[[#This Row],[Customer Gender]] = "O", "Others",TRUE,"Unknown")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 - orders[[#This Row],[Order Date]]</f>
        <v>1</v>
      </c>
      <c r="N2157">
        <f>WEEKNUM(orders[[#This Row],[Order Date]])</f>
        <v>12</v>
      </c>
      <c r="O2157" t="str" cm="1">
        <f t="array" ref="O2157">_xlfn.IFS(orders[[#This Row],[Customer Gender]] = "M", "Male",orders[[#This Row],[Customer Gender]] = "F", "Female",orders[[#This Row],[Customer Gender]] = "O", "Others",TRUE,"Unknown")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 - orders[[#This Row],[Order Date]]</f>
        <v>2</v>
      </c>
      <c r="N2158">
        <f>WEEKNUM(orders[[#This Row],[Order Date]])</f>
        <v>12</v>
      </c>
      <c r="O2158" t="str" cm="1">
        <f t="array" ref="O2158">_xlfn.IFS(orders[[#This Row],[Customer Gender]] = "M", "Male",orders[[#This Row],[Customer Gender]] = "F", "Female",orders[[#This Row],[Customer Gender]] = "O", "Others",TRUE,"Unknown")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 - orders[[#This Row],[Order Date]]</f>
        <v>1</v>
      </c>
      <c r="N2159">
        <f>WEEKNUM(orders[[#This Row],[Order Date]])</f>
        <v>12</v>
      </c>
      <c r="O2159" t="str" cm="1">
        <f t="array" ref="O2159">_xlfn.IFS(orders[[#This Row],[Customer Gender]] = "M", "Male",orders[[#This Row],[Customer Gender]] = "F", "Female",orders[[#This Row],[Customer Gender]] = "O", "Others",TRUE,"Unknown")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 - orders[[#This Row],[Order Date]]</f>
        <v>3</v>
      </c>
      <c r="N2160">
        <f>WEEKNUM(orders[[#This Row],[Order Date]])</f>
        <v>12</v>
      </c>
      <c r="O2160" t="str" cm="1">
        <f t="array" ref="O2160">_xlfn.IFS(orders[[#This Row],[Customer Gender]] = "M", "Male",orders[[#This Row],[Customer Gender]] = "F", "Female",orders[[#This Row],[Customer Gender]] = "O", "Others",TRUE,"Unknown")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 - orders[[#This Row],[Order Date]]</f>
        <v>1</v>
      </c>
      <c r="N2161">
        <f>WEEKNUM(orders[[#This Row],[Order Date]])</f>
        <v>12</v>
      </c>
      <c r="O2161" t="str" cm="1">
        <f t="array" ref="O2161">_xlfn.IFS(orders[[#This Row],[Customer Gender]] = "M", "Male",orders[[#This Row],[Customer Gender]] = "F", "Female",orders[[#This Row],[Customer Gender]] = "O", "Others",TRUE,"Unknown")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 - orders[[#This Row],[Order Date]]</f>
        <v>1</v>
      </c>
      <c r="N2162">
        <f>WEEKNUM(orders[[#This Row],[Order Date]])</f>
        <v>12</v>
      </c>
      <c r="O2162" t="str" cm="1">
        <f t="array" ref="O2162">_xlfn.IFS(orders[[#This Row],[Customer Gender]] = "M", "Male",orders[[#This Row],[Customer Gender]] = "F", "Female",orders[[#This Row],[Customer Gender]] = "O", "Others",TRUE,"Unknown")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 - orders[[#This Row],[Order Date]]</f>
        <v>1</v>
      </c>
      <c r="N2163">
        <f>WEEKNUM(orders[[#This Row],[Order Date]])</f>
        <v>12</v>
      </c>
      <c r="O2163" t="str" cm="1">
        <f t="array" ref="O2163">_xlfn.IFS(orders[[#This Row],[Customer Gender]] = "M", "Male",orders[[#This Row],[Customer Gender]] = "F", "Female",orders[[#This Row],[Customer Gender]] = "O", "Others",TRUE,"Unknown")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 - orders[[#This Row],[Order Date]]</f>
        <v>2</v>
      </c>
      <c r="N2164">
        <f>WEEKNUM(orders[[#This Row],[Order Date]])</f>
        <v>12</v>
      </c>
      <c r="O2164" t="str" cm="1">
        <f t="array" ref="O2164">_xlfn.IFS(orders[[#This Row],[Customer Gender]] = "M", "Male",orders[[#This Row],[Customer Gender]] = "F", "Female",orders[[#This Row],[Customer Gender]] = "O", "Others",TRUE,"Unknown")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 - orders[[#This Row],[Order Date]]</f>
        <v>0</v>
      </c>
      <c r="N2165">
        <f>WEEKNUM(orders[[#This Row],[Order Date]])</f>
        <v>12</v>
      </c>
      <c r="O2165" t="str" cm="1">
        <f t="array" ref="O2165">_xlfn.IFS(orders[[#This Row],[Customer Gender]] = "M", "Male",orders[[#This Row],[Customer Gender]] = "F", "Female",orders[[#This Row],[Customer Gender]] = "O", "Others",TRUE,"Unknown")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 - orders[[#This Row],[Order Date]]</f>
        <v>1</v>
      </c>
      <c r="N2166">
        <f>WEEKNUM(orders[[#This Row],[Order Date]])</f>
        <v>12</v>
      </c>
      <c r="O2166" t="str" cm="1">
        <f t="array" ref="O2166">_xlfn.IFS(orders[[#This Row],[Customer Gender]] = "M", "Male",orders[[#This Row],[Customer Gender]] = "F", "Female",orders[[#This Row],[Customer Gender]] = "O", "Others",TRUE,"Unknown")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 - orders[[#This Row],[Order Date]]</f>
        <v>2</v>
      </c>
      <c r="N2167">
        <f>WEEKNUM(orders[[#This Row],[Order Date]])</f>
        <v>12</v>
      </c>
      <c r="O2167" t="str" cm="1">
        <f t="array" ref="O2167">_xlfn.IFS(orders[[#This Row],[Customer Gender]] = "M", "Male",orders[[#This Row],[Customer Gender]] = "F", "Female",orders[[#This Row],[Customer Gender]] = "O", "Others",TRUE,"Unknown")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 - orders[[#This Row],[Order Date]]</f>
        <v>6</v>
      </c>
      <c r="N2168">
        <f>WEEKNUM(orders[[#This Row],[Order Date]])</f>
        <v>12</v>
      </c>
      <c r="O2168" t="str" cm="1">
        <f t="array" ref="O2168">_xlfn.IFS(orders[[#This Row],[Customer Gender]] = "M", "Male",orders[[#This Row],[Customer Gender]] = "F", "Female",orders[[#This Row],[Customer Gender]] = "O", "Others",TRUE,"Unknown")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 - orders[[#This Row],[Order Date]]</f>
        <v>1</v>
      </c>
      <c r="N2169">
        <f>WEEKNUM(orders[[#This Row],[Order Date]])</f>
        <v>12</v>
      </c>
      <c r="O2169" t="str" cm="1">
        <f t="array" ref="O2169">_xlfn.IFS(orders[[#This Row],[Customer Gender]] = "M", "Male",orders[[#This Row],[Customer Gender]] = "F", "Female",orders[[#This Row],[Customer Gender]] = "O", "Others",TRUE,"Unknown")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 - orders[[#This Row],[Order Date]]</f>
        <v>1</v>
      </c>
      <c r="N2170">
        <f>WEEKNUM(orders[[#This Row],[Order Date]])</f>
        <v>12</v>
      </c>
      <c r="O2170" t="str" cm="1">
        <f t="array" ref="O2170">_xlfn.IFS(orders[[#This Row],[Customer Gender]] = "M", "Male",orders[[#This Row],[Customer Gender]] = "F", "Female",orders[[#This Row],[Customer Gender]] = "O", "Others",TRUE,"Unknown")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 - orders[[#This Row],[Order Date]]</f>
        <v>0</v>
      </c>
      <c r="N2171">
        <f>WEEKNUM(orders[[#This Row],[Order Date]])</f>
        <v>12</v>
      </c>
      <c r="O2171" t="str" cm="1">
        <f t="array" ref="O2171">_xlfn.IFS(orders[[#This Row],[Customer Gender]] = "M", "Male",orders[[#This Row],[Customer Gender]] = "F", "Female",orders[[#This Row],[Customer Gender]] = "O", "Others",TRUE,"Unknown")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 - orders[[#This Row],[Order Date]]</f>
        <v>1</v>
      </c>
      <c r="N2172">
        <f>WEEKNUM(orders[[#This Row],[Order Date]])</f>
        <v>12</v>
      </c>
      <c r="O2172" t="str" cm="1">
        <f t="array" ref="O2172">_xlfn.IFS(orders[[#This Row],[Customer Gender]] = "M", "Male",orders[[#This Row],[Customer Gender]] = "F", "Female",orders[[#This Row],[Customer Gender]] = "O", "Others",TRUE,"Unknown")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 - orders[[#This Row],[Order Date]]</f>
        <v>1</v>
      </c>
      <c r="N2173">
        <f>WEEKNUM(orders[[#This Row],[Order Date]])</f>
        <v>12</v>
      </c>
      <c r="O2173" t="str" cm="1">
        <f t="array" ref="O2173">_xlfn.IFS(orders[[#This Row],[Customer Gender]] = "M", "Male",orders[[#This Row],[Customer Gender]] = "F", "Female",orders[[#This Row],[Customer Gender]] = "O", "Others",TRUE,"Unknown")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 - orders[[#This Row],[Order Date]]</f>
        <v>2</v>
      </c>
      <c r="N2174">
        <f>WEEKNUM(orders[[#This Row],[Order Date]])</f>
        <v>12</v>
      </c>
      <c r="O2174" t="str" cm="1">
        <f t="array" ref="O2174">_xlfn.IFS(orders[[#This Row],[Customer Gender]] = "M", "Male",orders[[#This Row],[Customer Gender]] = "F", "Female",orders[[#This Row],[Customer Gender]] = "O", "Others",TRUE,"Unknown")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 - orders[[#This Row],[Order Date]]</f>
        <v>1</v>
      </c>
      <c r="N2175">
        <f>WEEKNUM(orders[[#This Row],[Order Date]])</f>
        <v>12</v>
      </c>
      <c r="O2175" t="str" cm="1">
        <f t="array" ref="O2175">_xlfn.IFS(orders[[#This Row],[Customer Gender]] = "M", "Male",orders[[#This Row],[Customer Gender]] = "F", "Female",orders[[#This Row],[Customer Gender]] = "O", "Others",TRUE,"Unknown")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 - orders[[#This Row],[Order Date]]</f>
        <v>3</v>
      </c>
      <c r="N2176">
        <f>WEEKNUM(orders[[#This Row],[Order Date]])</f>
        <v>12</v>
      </c>
      <c r="O2176" t="str" cm="1">
        <f t="array" ref="O2176">_xlfn.IFS(orders[[#This Row],[Customer Gender]] = "M", "Male",orders[[#This Row],[Customer Gender]] = "F", "Female",orders[[#This Row],[Customer Gender]] = "O", "Others",TRUE,"Unknown")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 - orders[[#This Row],[Order Date]]</f>
        <v>3</v>
      </c>
      <c r="N2177">
        <f>WEEKNUM(orders[[#This Row],[Order Date]])</f>
        <v>12</v>
      </c>
      <c r="O2177" t="str" cm="1">
        <f t="array" ref="O2177">_xlfn.IFS(orders[[#This Row],[Customer Gender]] = "M", "Male",orders[[#This Row],[Customer Gender]] = "F", "Female",orders[[#This Row],[Customer Gender]] = "O", "Others",TRUE,"Unknown")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 - orders[[#This Row],[Order Date]]</f>
        <v>1</v>
      </c>
      <c r="N2178">
        <f>WEEKNUM(orders[[#This Row],[Order Date]])</f>
        <v>12</v>
      </c>
      <c r="O2178" t="str" cm="1">
        <f t="array" ref="O2178">_xlfn.IFS(orders[[#This Row],[Customer Gender]] = "M", "Male",orders[[#This Row],[Customer Gender]] = "F", "Female",orders[[#This Row],[Customer Gender]] = "O", "Others",TRUE,"Unknown")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 - orders[[#This Row],[Order Date]]</f>
        <v>1</v>
      </c>
      <c r="N2179">
        <f>WEEKNUM(orders[[#This Row],[Order Date]])</f>
        <v>12</v>
      </c>
      <c r="O2179" t="str" cm="1">
        <f t="array" ref="O2179">_xlfn.IFS(orders[[#This Row],[Customer Gender]] = "M", "Male",orders[[#This Row],[Customer Gender]] = "F", "Female",orders[[#This Row],[Customer Gender]] = "O", "Others",TRUE,"Unknown")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 - orders[[#This Row],[Order Date]]</f>
        <v>1</v>
      </c>
      <c r="N2180">
        <f>WEEKNUM(orders[[#This Row],[Order Date]])</f>
        <v>12</v>
      </c>
      <c r="O2180" t="str" cm="1">
        <f t="array" ref="O2180">_xlfn.IFS(orders[[#This Row],[Customer Gender]] = "M", "Male",orders[[#This Row],[Customer Gender]] = "F", "Female",orders[[#This Row],[Customer Gender]] = "O", "Others",TRUE,"Unknown")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 - orders[[#This Row],[Order Date]]</f>
        <v>1</v>
      </c>
      <c r="N2181">
        <f>WEEKNUM(orders[[#This Row],[Order Date]])</f>
        <v>12</v>
      </c>
      <c r="O2181" t="str" cm="1">
        <f t="array" ref="O2181">_xlfn.IFS(orders[[#This Row],[Customer Gender]] = "M", "Male",orders[[#This Row],[Customer Gender]] = "F", "Female",orders[[#This Row],[Customer Gender]] = "O", "Others",TRUE,"Unknown")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 - orders[[#This Row],[Order Date]]</f>
        <v>10</v>
      </c>
      <c r="N2182">
        <f>WEEKNUM(orders[[#This Row],[Order Date]])</f>
        <v>12</v>
      </c>
      <c r="O2182" t="str" cm="1">
        <f t="array" ref="O2182">_xlfn.IFS(orders[[#This Row],[Customer Gender]] = "M", "Male",orders[[#This Row],[Customer Gender]] = "F", "Female",orders[[#This Row],[Customer Gender]] = "O", "Others",TRUE,"Unknown")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 - orders[[#This Row],[Order Date]]</f>
        <v>1</v>
      </c>
      <c r="N2183">
        <f>WEEKNUM(orders[[#This Row],[Order Date]])</f>
        <v>12</v>
      </c>
      <c r="O2183" t="str" cm="1">
        <f t="array" ref="O2183">_xlfn.IFS(orders[[#This Row],[Customer Gender]] = "M", "Male",orders[[#This Row],[Customer Gender]] = "F", "Female",orders[[#This Row],[Customer Gender]] = "O", "Others",TRUE,"Unknown")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 - orders[[#This Row],[Order Date]]</f>
        <v>3</v>
      </c>
      <c r="N2184">
        <f>WEEKNUM(orders[[#This Row],[Order Date]])</f>
        <v>12</v>
      </c>
      <c r="O2184" t="str" cm="1">
        <f t="array" ref="O2184">_xlfn.IFS(orders[[#This Row],[Customer Gender]] = "M", "Male",orders[[#This Row],[Customer Gender]] = "F", "Female",orders[[#This Row],[Customer Gender]] = "O", "Others",TRUE,"Unknown")</f>
        <v>Others</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 - orders[[#This Row],[Order Date]]</f>
        <v>4</v>
      </c>
      <c r="N2185">
        <f>WEEKNUM(orders[[#This Row],[Order Date]])</f>
        <v>12</v>
      </c>
      <c r="O2185" t="str" cm="1">
        <f t="array" ref="O2185">_xlfn.IFS(orders[[#This Row],[Customer Gender]] = "M", "Male",orders[[#This Row],[Customer Gender]] = "F", "Female",orders[[#This Row],[Customer Gender]] = "O", "Others",TRUE,"Unknown")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 - orders[[#This Row],[Order Date]]</f>
        <v>1</v>
      </c>
      <c r="N2186">
        <f>WEEKNUM(orders[[#This Row],[Order Date]])</f>
        <v>12</v>
      </c>
      <c r="O2186" t="str" cm="1">
        <f t="array" ref="O2186">_xlfn.IFS(orders[[#This Row],[Customer Gender]] = "M", "Male",orders[[#This Row],[Customer Gender]] = "F", "Female",orders[[#This Row],[Customer Gender]] = "O", "Others",TRUE,"Unknown")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 - orders[[#This Row],[Order Date]]</f>
        <v>3</v>
      </c>
      <c r="N2187">
        <f>WEEKNUM(orders[[#This Row],[Order Date]])</f>
        <v>12</v>
      </c>
      <c r="O2187" t="str" cm="1">
        <f t="array" ref="O2187">_xlfn.IFS(orders[[#This Row],[Customer Gender]] = "M", "Male",orders[[#This Row],[Customer Gender]] = "F", "Female",orders[[#This Row],[Customer Gender]] = "O", "Others",TRUE,"Unknown")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 - orders[[#This Row],[Order Date]]</f>
        <v>1</v>
      </c>
      <c r="N2188">
        <f>WEEKNUM(orders[[#This Row],[Order Date]])</f>
        <v>12</v>
      </c>
      <c r="O2188" t="str" cm="1">
        <f t="array" ref="O2188">_xlfn.IFS(orders[[#This Row],[Customer Gender]] = "M", "Male",orders[[#This Row],[Customer Gender]] = "F", "Female",orders[[#This Row],[Customer Gender]] = "O", "Others",TRUE,"Unknown")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 - orders[[#This Row],[Order Date]]</f>
        <v>1</v>
      </c>
      <c r="N2189">
        <f>WEEKNUM(orders[[#This Row],[Order Date]])</f>
        <v>12</v>
      </c>
      <c r="O2189" t="str" cm="1">
        <f t="array" ref="O2189">_xlfn.IFS(orders[[#This Row],[Customer Gender]] = "M", "Male",orders[[#This Row],[Customer Gender]] = "F", "Female",orders[[#This Row],[Customer Gender]] = "O", "Others",TRUE,"Unknown")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 - orders[[#This Row],[Order Date]]</f>
        <v>1</v>
      </c>
      <c r="N2190">
        <f>WEEKNUM(orders[[#This Row],[Order Date]])</f>
        <v>12</v>
      </c>
      <c r="O2190" t="str" cm="1">
        <f t="array" ref="O2190">_xlfn.IFS(orders[[#This Row],[Customer Gender]] = "M", "Male",orders[[#This Row],[Customer Gender]] = "F", "Female",orders[[#This Row],[Customer Gender]] = "O", "Others",TRUE,"Unknown")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 - orders[[#This Row],[Order Date]]</f>
        <v>1</v>
      </c>
      <c r="N2191">
        <f>WEEKNUM(orders[[#This Row],[Order Date]])</f>
        <v>12</v>
      </c>
      <c r="O2191" t="str" cm="1">
        <f t="array" ref="O2191">_xlfn.IFS(orders[[#This Row],[Customer Gender]] = "M", "Male",orders[[#This Row],[Customer Gender]] = "F", "Female",orders[[#This Row],[Customer Gender]] = "O", "Others",TRUE,"Unknown")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 - orders[[#This Row],[Order Date]]</f>
        <v>5</v>
      </c>
      <c r="N2192">
        <f>WEEKNUM(orders[[#This Row],[Order Date]])</f>
        <v>12</v>
      </c>
      <c r="O2192" t="str" cm="1">
        <f t="array" ref="O2192">_xlfn.IFS(orders[[#This Row],[Customer Gender]] = "M", "Male",orders[[#This Row],[Customer Gender]] = "F", "Female",orders[[#This Row],[Customer Gender]] = "O", "Others",TRUE,"Unknown")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 - orders[[#This Row],[Order Date]]</f>
        <v>7</v>
      </c>
      <c r="N2193">
        <f>WEEKNUM(orders[[#This Row],[Order Date]])</f>
        <v>12</v>
      </c>
      <c r="O2193" t="str" cm="1">
        <f t="array" ref="O2193">_xlfn.IFS(orders[[#This Row],[Customer Gender]] = "M", "Male",orders[[#This Row],[Customer Gender]] = "F", "Female",orders[[#This Row],[Customer Gender]] = "O", "Others",TRUE,"Unknown")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 - orders[[#This Row],[Order Date]]</f>
        <v>2</v>
      </c>
      <c r="N2194">
        <f>WEEKNUM(orders[[#This Row],[Order Date]])</f>
        <v>12</v>
      </c>
      <c r="O2194" t="str" cm="1">
        <f t="array" ref="O2194">_xlfn.IFS(orders[[#This Row],[Customer Gender]] = "M", "Male",orders[[#This Row],[Customer Gender]] = "F", "Female",orders[[#This Row],[Customer Gender]] = "O", "Others",TRUE,"Unknown")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 - orders[[#This Row],[Order Date]]</f>
        <v>0</v>
      </c>
      <c r="N2195">
        <f>WEEKNUM(orders[[#This Row],[Order Date]])</f>
        <v>12</v>
      </c>
      <c r="O2195" t="str" cm="1">
        <f t="array" ref="O2195">_xlfn.IFS(orders[[#This Row],[Customer Gender]] = "M", "Male",orders[[#This Row],[Customer Gender]] = "F", "Female",orders[[#This Row],[Customer Gender]] = "O", "Others",TRUE,"Unknown")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 - orders[[#This Row],[Order Date]]</f>
        <v>2</v>
      </c>
      <c r="N2196">
        <f>WEEKNUM(orders[[#This Row],[Order Date]])</f>
        <v>12</v>
      </c>
      <c r="O2196" t="str" cm="1">
        <f t="array" ref="O2196">_xlfn.IFS(orders[[#This Row],[Customer Gender]] = "M", "Male",orders[[#This Row],[Customer Gender]] = "F", "Female",orders[[#This Row],[Customer Gender]] = "O", "Others",TRUE,"Unknown")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 - orders[[#This Row],[Order Date]]</f>
        <v>4</v>
      </c>
      <c r="N2197">
        <f>WEEKNUM(orders[[#This Row],[Order Date]])</f>
        <v>12</v>
      </c>
      <c r="O2197" t="str" cm="1">
        <f t="array" ref="O2197">_xlfn.IFS(orders[[#This Row],[Customer Gender]] = "M", "Male",orders[[#This Row],[Customer Gender]] = "F", "Female",orders[[#This Row],[Customer Gender]] = "O", "Others",TRUE,"Unknown")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 - orders[[#This Row],[Order Date]]</f>
        <v>1</v>
      </c>
      <c r="N2198">
        <f>WEEKNUM(orders[[#This Row],[Order Date]])</f>
        <v>12</v>
      </c>
      <c r="O2198" t="str" cm="1">
        <f t="array" ref="O2198">_xlfn.IFS(orders[[#This Row],[Customer Gender]] = "M", "Male",orders[[#This Row],[Customer Gender]] = "F", "Female",orders[[#This Row],[Customer Gender]] = "O", "Others",TRUE,"Unknown")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 - orders[[#This Row],[Order Date]]</f>
        <v>1</v>
      </c>
      <c r="N2199">
        <f>WEEKNUM(orders[[#This Row],[Order Date]])</f>
        <v>12</v>
      </c>
      <c r="O2199" t="str" cm="1">
        <f t="array" ref="O2199">_xlfn.IFS(orders[[#This Row],[Customer Gender]] = "M", "Male",orders[[#This Row],[Customer Gender]] = "F", "Female",orders[[#This Row],[Customer Gender]] = "O", "Others",TRUE,"Unknown")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 - orders[[#This Row],[Order Date]]</f>
        <v>1</v>
      </c>
      <c r="N2200">
        <f>WEEKNUM(orders[[#This Row],[Order Date]])</f>
        <v>12</v>
      </c>
      <c r="O2200" t="str" cm="1">
        <f t="array" ref="O2200">_xlfn.IFS(orders[[#This Row],[Customer Gender]] = "M", "Male",orders[[#This Row],[Customer Gender]] = "F", "Female",orders[[#This Row],[Customer Gender]] = "O", "Others",TRUE,"Unknown")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 - orders[[#This Row],[Order Date]]</f>
        <v>2</v>
      </c>
      <c r="N2201">
        <f>WEEKNUM(orders[[#This Row],[Order Date]])</f>
        <v>12</v>
      </c>
      <c r="O2201" t="str" cm="1">
        <f t="array" ref="O2201">_xlfn.IFS(orders[[#This Row],[Customer Gender]] = "M", "Male",orders[[#This Row],[Customer Gender]] = "F", "Female",orders[[#This Row],[Customer Gender]] = "O", "Others",TRUE,"Unknown")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 - orders[[#This Row],[Order Date]]</f>
        <v>1</v>
      </c>
      <c r="N2202">
        <f>WEEKNUM(orders[[#This Row],[Order Date]])</f>
        <v>12</v>
      </c>
      <c r="O2202" t="str" cm="1">
        <f t="array" ref="O2202">_xlfn.IFS(orders[[#This Row],[Customer Gender]] = "M", "Male",orders[[#This Row],[Customer Gender]] = "F", "Female",orders[[#This Row],[Customer Gender]] = "O", "Others",TRUE,"Unknown")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 - orders[[#This Row],[Order Date]]</f>
        <v>1</v>
      </c>
      <c r="N2203">
        <f>WEEKNUM(orders[[#This Row],[Order Date]])</f>
        <v>12</v>
      </c>
      <c r="O2203" t="str" cm="1">
        <f t="array" ref="O2203">_xlfn.IFS(orders[[#This Row],[Customer Gender]] = "M", "Male",orders[[#This Row],[Customer Gender]] = "F", "Female",orders[[#This Row],[Customer Gender]] = "O", "Others",TRUE,"Unknown")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 - orders[[#This Row],[Order Date]]</f>
        <v>4</v>
      </c>
      <c r="N2204">
        <f>WEEKNUM(orders[[#This Row],[Order Date]])</f>
        <v>12</v>
      </c>
      <c r="O2204" t="str" cm="1">
        <f t="array" ref="O2204">_xlfn.IFS(orders[[#This Row],[Customer Gender]] = "M", "Male",orders[[#This Row],[Customer Gender]] = "F", "Female",orders[[#This Row],[Customer Gender]] = "O", "Others",TRUE,"Unknown")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 - orders[[#This Row],[Order Date]]</f>
        <v>1</v>
      </c>
      <c r="N2205">
        <f>WEEKNUM(orders[[#This Row],[Order Date]])</f>
        <v>12</v>
      </c>
      <c r="O2205" t="str" cm="1">
        <f t="array" ref="O2205">_xlfn.IFS(orders[[#This Row],[Customer Gender]] = "M", "Male",orders[[#This Row],[Customer Gender]] = "F", "Female",orders[[#This Row],[Customer Gender]] = "O", "Others",TRUE,"Unknown")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 - orders[[#This Row],[Order Date]]</f>
        <v>3</v>
      </c>
      <c r="N2206">
        <f>WEEKNUM(orders[[#This Row],[Order Date]])</f>
        <v>12</v>
      </c>
      <c r="O2206" t="str" cm="1">
        <f t="array" ref="O2206">_xlfn.IFS(orders[[#This Row],[Customer Gender]] = "M", "Male",orders[[#This Row],[Customer Gender]] = "F", "Female",orders[[#This Row],[Customer Gender]] = "O", "Others",TRUE,"Unknown")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 - orders[[#This Row],[Order Date]]</f>
        <v>2</v>
      </c>
      <c r="N2207">
        <f>WEEKNUM(orders[[#This Row],[Order Date]])</f>
        <v>12</v>
      </c>
      <c r="O2207" t="str" cm="1">
        <f t="array" ref="O2207">_xlfn.IFS(orders[[#This Row],[Customer Gender]] = "M", "Male",orders[[#This Row],[Customer Gender]] = "F", "Female",orders[[#This Row],[Customer Gender]] = "O", "Others",TRUE,"Unknown")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 - orders[[#This Row],[Order Date]]</f>
        <v>1</v>
      </c>
      <c r="N2208">
        <f>WEEKNUM(orders[[#This Row],[Order Date]])</f>
        <v>12</v>
      </c>
      <c r="O2208" t="str" cm="1">
        <f t="array" ref="O2208">_xlfn.IFS(orders[[#This Row],[Customer Gender]] = "M", "Male",orders[[#This Row],[Customer Gender]] = "F", "Female",orders[[#This Row],[Customer Gender]] = "O", "Others",TRUE,"Unknown")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 - orders[[#This Row],[Order Date]]</f>
        <v>0</v>
      </c>
      <c r="N2209">
        <f>WEEKNUM(orders[[#This Row],[Order Date]])</f>
        <v>12</v>
      </c>
      <c r="O2209" t="str" cm="1">
        <f t="array" ref="O2209">_xlfn.IFS(orders[[#This Row],[Customer Gender]] = "M", "Male",orders[[#This Row],[Customer Gender]] = "F", "Female",orders[[#This Row],[Customer Gender]] = "O", "Others",TRUE,"Unknown")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 - orders[[#This Row],[Order Date]]</f>
        <v>2</v>
      </c>
      <c r="N2210">
        <f>WEEKNUM(orders[[#This Row],[Order Date]])</f>
        <v>12</v>
      </c>
      <c r="O2210" t="str" cm="1">
        <f t="array" ref="O2210">_xlfn.IFS(orders[[#This Row],[Customer Gender]] = "M", "Male",orders[[#This Row],[Customer Gender]] = "F", "Female",orders[[#This Row],[Customer Gender]] = "O", "Others",TRUE,"Unknown")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 - orders[[#This Row],[Order Date]]</f>
        <v>1</v>
      </c>
      <c r="N2211">
        <f>WEEKNUM(orders[[#This Row],[Order Date]])</f>
        <v>12</v>
      </c>
      <c r="O2211" t="str" cm="1">
        <f t="array" ref="O2211">_xlfn.IFS(orders[[#This Row],[Customer Gender]] = "M", "Male",orders[[#This Row],[Customer Gender]] = "F", "Female",orders[[#This Row],[Customer Gender]] = "O", "Others",TRUE,"Unknown")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 - orders[[#This Row],[Order Date]]</f>
        <v>2</v>
      </c>
      <c r="N2212">
        <f>WEEKNUM(orders[[#This Row],[Order Date]])</f>
        <v>12</v>
      </c>
      <c r="O2212" t="str" cm="1">
        <f t="array" ref="O2212">_xlfn.IFS(orders[[#This Row],[Customer Gender]] = "M", "Male",orders[[#This Row],[Customer Gender]] = "F", "Female",orders[[#This Row],[Customer Gender]] = "O", "Others",TRUE,"Unknown")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 - orders[[#This Row],[Order Date]]</f>
        <v>1</v>
      </c>
      <c r="N2213">
        <f>WEEKNUM(orders[[#This Row],[Order Date]])</f>
        <v>12</v>
      </c>
      <c r="O2213" t="str" cm="1">
        <f t="array" ref="O2213">_xlfn.IFS(orders[[#This Row],[Customer Gender]] = "M", "Male",orders[[#This Row],[Customer Gender]] = "F", "Female",orders[[#This Row],[Customer Gender]] = "O", "Others",TRUE,"Unknown")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 - orders[[#This Row],[Order Date]]</f>
        <v>8</v>
      </c>
      <c r="N2214">
        <f>WEEKNUM(orders[[#This Row],[Order Date]])</f>
        <v>12</v>
      </c>
      <c r="O2214" t="str" cm="1">
        <f t="array" ref="O2214">_xlfn.IFS(orders[[#This Row],[Customer Gender]] = "M", "Male",orders[[#This Row],[Customer Gender]] = "F", "Female",orders[[#This Row],[Customer Gender]] = "O", "Others",TRUE,"Unknown")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 - orders[[#This Row],[Order Date]]</f>
        <v>2</v>
      </c>
      <c r="N2215">
        <f>WEEKNUM(orders[[#This Row],[Order Date]])</f>
        <v>12</v>
      </c>
      <c r="O2215" t="str" cm="1">
        <f t="array" ref="O2215">_xlfn.IFS(orders[[#This Row],[Customer Gender]] = "M", "Male",orders[[#This Row],[Customer Gender]] = "F", "Female",orders[[#This Row],[Customer Gender]] = "O", "Others",TRUE,"Unknown")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 - orders[[#This Row],[Order Date]]</f>
        <v>3</v>
      </c>
      <c r="N2216">
        <f>WEEKNUM(orders[[#This Row],[Order Date]])</f>
        <v>12</v>
      </c>
      <c r="O2216" t="str" cm="1">
        <f t="array" ref="O2216">_xlfn.IFS(orders[[#This Row],[Customer Gender]] = "M", "Male",orders[[#This Row],[Customer Gender]] = "F", "Female",orders[[#This Row],[Customer Gender]] = "O", "Others",TRUE,"Unknown")</f>
        <v>Others</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 - orders[[#This Row],[Order Date]]</f>
        <v>1</v>
      </c>
      <c r="N2217">
        <f>WEEKNUM(orders[[#This Row],[Order Date]])</f>
        <v>12</v>
      </c>
      <c r="O2217" t="str" cm="1">
        <f t="array" ref="O2217">_xlfn.IFS(orders[[#This Row],[Customer Gender]] = "M", "Male",orders[[#This Row],[Customer Gender]] = "F", "Female",orders[[#This Row],[Customer Gender]] = "O", "Others",TRUE,"Unknown")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 - orders[[#This Row],[Order Date]]</f>
        <v>1</v>
      </c>
      <c r="N2218">
        <f>WEEKNUM(orders[[#This Row],[Order Date]])</f>
        <v>13</v>
      </c>
      <c r="O2218" t="str" cm="1">
        <f t="array" ref="O2218">_xlfn.IFS(orders[[#This Row],[Customer Gender]] = "M", "Male",orders[[#This Row],[Customer Gender]] = "F", "Female",orders[[#This Row],[Customer Gender]] = "O", "Others",TRUE,"Unknown")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 - orders[[#This Row],[Order Date]]</f>
        <v>4</v>
      </c>
      <c r="N2219">
        <f>WEEKNUM(orders[[#This Row],[Order Date]])</f>
        <v>13</v>
      </c>
      <c r="O2219" t="str" cm="1">
        <f t="array" ref="O2219">_xlfn.IFS(orders[[#This Row],[Customer Gender]] = "M", "Male",orders[[#This Row],[Customer Gender]] = "F", "Female",orders[[#This Row],[Customer Gender]] = "O", "Others",TRUE,"Unknown")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 - orders[[#This Row],[Order Date]]</f>
        <v>1</v>
      </c>
      <c r="N2220">
        <f>WEEKNUM(orders[[#This Row],[Order Date]])</f>
        <v>13</v>
      </c>
      <c r="O2220" t="str" cm="1">
        <f t="array" ref="O2220">_xlfn.IFS(orders[[#This Row],[Customer Gender]] = "M", "Male",orders[[#This Row],[Customer Gender]] = "F", "Female",orders[[#This Row],[Customer Gender]] = "O", "Others",TRUE,"Unknown")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 - orders[[#This Row],[Order Date]]</f>
        <v>0</v>
      </c>
      <c r="N2221">
        <f>WEEKNUM(orders[[#This Row],[Order Date]])</f>
        <v>13</v>
      </c>
      <c r="O2221" t="str" cm="1">
        <f t="array" ref="O2221">_xlfn.IFS(orders[[#This Row],[Customer Gender]] = "M", "Male",orders[[#This Row],[Customer Gender]] = "F", "Female",orders[[#This Row],[Customer Gender]] = "O", "Others",TRUE,"Unknown")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 - orders[[#This Row],[Order Date]]</f>
        <v>1</v>
      </c>
      <c r="N2222">
        <f>WEEKNUM(orders[[#This Row],[Order Date]])</f>
        <v>13</v>
      </c>
      <c r="O2222" t="str" cm="1">
        <f t="array" ref="O2222">_xlfn.IFS(orders[[#This Row],[Customer Gender]] = "M", "Male",orders[[#This Row],[Customer Gender]] = "F", "Female",orders[[#This Row],[Customer Gender]] = "O", "Others",TRUE,"Unknown")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 - orders[[#This Row],[Order Date]]</f>
        <v>0</v>
      </c>
      <c r="N2223">
        <f>WEEKNUM(orders[[#This Row],[Order Date]])</f>
        <v>13</v>
      </c>
      <c r="O2223" t="str" cm="1">
        <f t="array" ref="O2223">_xlfn.IFS(orders[[#This Row],[Customer Gender]] = "M", "Male",orders[[#This Row],[Customer Gender]] = "F", "Female",orders[[#This Row],[Customer Gender]] = "O", "Others",TRUE,"Unknown")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 - orders[[#This Row],[Order Date]]</f>
        <v>3</v>
      </c>
      <c r="N2224">
        <f>WEEKNUM(orders[[#This Row],[Order Date]])</f>
        <v>13</v>
      </c>
      <c r="O2224" t="str" cm="1">
        <f t="array" ref="O2224">_xlfn.IFS(orders[[#This Row],[Customer Gender]] = "M", "Male",orders[[#This Row],[Customer Gender]] = "F", "Female",orders[[#This Row],[Customer Gender]] = "O", "Others",TRUE,"Unknown")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 - orders[[#This Row],[Order Date]]</f>
        <v>1</v>
      </c>
      <c r="N2225">
        <f>WEEKNUM(orders[[#This Row],[Order Date]])</f>
        <v>13</v>
      </c>
      <c r="O2225" t="str" cm="1">
        <f t="array" ref="O2225">_xlfn.IFS(orders[[#This Row],[Customer Gender]] = "M", "Male",orders[[#This Row],[Customer Gender]] = "F", "Female",orders[[#This Row],[Customer Gender]] = "O", "Others",TRUE,"Unknown")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 - orders[[#This Row],[Order Date]]</f>
        <v>1</v>
      </c>
      <c r="N2226">
        <f>WEEKNUM(orders[[#This Row],[Order Date]])</f>
        <v>13</v>
      </c>
      <c r="O2226" t="str" cm="1">
        <f t="array" ref="O2226">_xlfn.IFS(orders[[#This Row],[Customer Gender]] = "M", "Male",orders[[#This Row],[Customer Gender]] = "F", "Female",orders[[#This Row],[Customer Gender]] = "O", "Others",TRUE,"Unknown")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 - orders[[#This Row],[Order Date]]</f>
        <v>0</v>
      </c>
      <c r="N2227">
        <f>WEEKNUM(orders[[#This Row],[Order Date]])</f>
        <v>13</v>
      </c>
      <c r="O2227" t="str" cm="1">
        <f t="array" ref="O2227">_xlfn.IFS(orders[[#This Row],[Customer Gender]] = "M", "Male",orders[[#This Row],[Customer Gender]] = "F", "Female",orders[[#This Row],[Customer Gender]] = "O", "Others",TRUE,"Unknown")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 - orders[[#This Row],[Order Date]]</f>
        <v>3</v>
      </c>
      <c r="N2228">
        <f>WEEKNUM(orders[[#This Row],[Order Date]])</f>
        <v>13</v>
      </c>
      <c r="O2228" t="str" cm="1">
        <f t="array" ref="O2228">_xlfn.IFS(orders[[#This Row],[Customer Gender]] = "M", "Male",orders[[#This Row],[Customer Gender]] = "F", "Female",orders[[#This Row],[Customer Gender]] = "O", "Others",TRUE,"Unknown")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 - orders[[#This Row],[Order Date]]</f>
        <v>1</v>
      </c>
      <c r="N2229">
        <f>WEEKNUM(orders[[#This Row],[Order Date]])</f>
        <v>13</v>
      </c>
      <c r="O2229" t="str" cm="1">
        <f t="array" ref="O2229">_xlfn.IFS(orders[[#This Row],[Customer Gender]] = "M", "Male",orders[[#This Row],[Customer Gender]] = "F", "Female",orders[[#This Row],[Customer Gender]] = "O", "Others",TRUE,"Unknown")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 - orders[[#This Row],[Order Date]]</f>
        <v>3</v>
      </c>
      <c r="N2230">
        <f>WEEKNUM(orders[[#This Row],[Order Date]])</f>
        <v>13</v>
      </c>
      <c r="O2230" t="str" cm="1">
        <f t="array" ref="O2230">_xlfn.IFS(orders[[#This Row],[Customer Gender]] = "M", "Male",orders[[#This Row],[Customer Gender]] = "F", "Female",orders[[#This Row],[Customer Gender]] = "O", "Others",TRUE,"Unknown")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 - orders[[#This Row],[Order Date]]</f>
        <v>0</v>
      </c>
      <c r="N2231">
        <f>WEEKNUM(orders[[#This Row],[Order Date]])</f>
        <v>13</v>
      </c>
      <c r="O2231" t="str" cm="1">
        <f t="array" ref="O2231">_xlfn.IFS(orders[[#This Row],[Customer Gender]] = "M", "Male",orders[[#This Row],[Customer Gender]] = "F", "Female",orders[[#This Row],[Customer Gender]] = "O", "Others",TRUE,"Unknown")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 - orders[[#This Row],[Order Date]]</f>
        <v>0</v>
      </c>
      <c r="N2232">
        <f>WEEKNUM(orders[[#This Row],[Order Date]])</f>
        <v>13</v>
      </c>
      <c r="O2232" t="str" cm="1">
        <f t="array" ref="O2232">_xlfn.IFS(orders[[#This Row],[Customer Gender]] = "M", "Male",orders[[#This Row],[Customer Gender]] = "F", "Female",orders[[#This Row],[Customer Gender]] = "O", "Others",TRUE,"Unknown")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 - orders[[#This Row],[Order Date]]</f>
        <v>5</v>
      </c>
      <c r="N2233">
        <f>WEEKNUM(orders[[#This Row],[Order Date]])</f>
        <v>13</v>
      </c>
      <c r="O2233" t="str" cm="1">
        <f t="array" ref="O2233">_xlfn.IFS(orders[[#This Row],[Customer Gender]] = "M", "Male",orders[[#This Row],[Customer Gender]] = "F", "Female",orders[[#This Row],[Customer Gender]] = "O", "Others",TRUE,"Unknown")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 - orders[[#This Row],[Order Date]]</f>
        <v>1</v>
      </c>
      <c r="N2234">
        <f>WEEKNUM(orders[[#This Row],[Order Date]])</f>
        <v>13</v>
      </c>
      <c r="O2234" t="str" cm="1">
        <f t="array" ref="O2234">_xlfn.IFS(orders[[#This Row],[Customer Gender]] = "M", "Male",orders[[#This Row],[Customer Gender]] = "F", "Female",orders[[#This Row],[Customer Gender]] = "O", "Others",TRUE,"Unknown")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 - orders[[#This Row],[Order Date]]</f>
        <v>1</v>
      </c>
      <c r="N2235">
        <f>WEEKNUM(orders[[#This Row],[Order Date]])</f>
        <v>13</v>
      </c>
      <c r="O2235" t="str" cm="1">
        <f t="array" ref="O2235">_xlfn.IFS(orders[[#This Row],[Customer Gender]] = "M", "Male",orders[[#This Row],[Customer Gender]] = "F", "Female",orders[[#This Row],[Customer Gender]] = "O", "Others",TRUE,"Unknown")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 - orders[[#This Row],[Order Date]]</f>
        <v>3</v>
      </c>
      <c r="N2236">
        <f>WEEKNUM(orders[[#This Row],[Order Date]])</f>
        <v>13</v>
      </c>
      <c r="O2236" t="str" cm="1">
        <f t="array" ref="O2236">_xlfn.IFS(orders[[#This Row],[Customer Gender]] = "M", "Male",orders[[#This Row],[Customer Gender]] = "F", "Female",orders[[#This Row],[Customer Gender]] = "O", "Others",TRUE,"Unknown")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 - orders[[#This Row],[Order Date]]</f>
        <v>2</v>
      </c>
      <c r="N2237">
        <f>WEEKNUM(orders[[#This Row],[Order Date]])</f>
        <v>13</v>
      </c>
      <c r="O2237" t="str" cm="1">
        <f t="array" ref="O2237">_xlfn.IFS(orders[[#This Row],[Customer Gender]] = "M", "Male",orders[[#This Row],[Customer Gender]] = "F", "Female",orders[[#This Row],[Customer Gender]] = "O", "Others",TRUE,"Unknown")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 - orders[[#This Row],[Order Date]]</f>
        <v>1</v>
      </c>
      <c r="N2238">
        <f>WEEKNUM(orders[[#This Row],[Order Date]])</f>
        <v>13</v>
      </c>
      <c r="O2238" t="str" cm="1">
        <f t="array" ref="O2238">_xlfn.IFS(orders[[#This Row],[Customer Gender]] = "M", "Male",orders[[#This Row],[Customer Gender]] = "F", "Female",orders[[#This Row],[Customer Gender]] = "O", "Others",TRUE,"Unknown")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 - orders[[#This Row],[Order Date]]</f>
        <v>2</v>
      </c>
      <c r="N2239">
        <f>WEEKNUM(orders[[#This Row],[Order Date]])</f>
        <v>13</v>
      </c>
      <c r="O2239" t="str" cm="1">
        <f t="array" ref="O2239">_xlfn.IFS(orders[[#This Row],[Customer Gender]] = "M", "Male",orders[[#This Row],[Customer Gender]] = "F", "Female",orders[[#This Row],[Customer Gender]] = "O", "Others",TRUE,"Unknown")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 - orders[[#This Row],[Order Date]]</f>
        <v>2</v>
      </c>
      <c r="N2240">
        <f>WEEKNUM(orders[[#This Row],[Order Date]])</f>
        <v>13</v>
      </c>
      <c r="O2240" t="str" cm="1">
        <f t="array" ref="O2240">_xlfn.IFS(orders[[#This Row],[Customer Gender]] = "M", "Male",orders[[#This Row],[Customer Gender]] = "F", "Female",orders[[#This Row],[Customer Gender]] = "O", "Others",TRUE,"Unknown")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 - orders[[#This Row],[Order Date]]</f>
        <v>1</v>
      </c>
      <c r="N2241">
        <f>WEEKNUM(orders[[#This Row],[Order Date]])</f>
        <v>13</v>
      </c>
      <c r="O2241" t="str" cm="1">
        <f t="array" ref="O2241">_xlfn.IFS(orders[[#This Row],[Customer Gender]] = "M", "Male",orders[[#This Row],[Customer Gender]] = "F", "Female",orders[[#This Row],[Customer Gender]] = "O", "Others",TRUE,"Unknown")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 - orders[[#This Row],[Order Date]]</f>
        <v>1</v>
      </c>
      <c r="N2242">
        <f>WEEKNUM(orders[[#This Row],[Order Date]])</f>
        <v>13</v>
      </c>
      <c r="O2242" t="str" cm="1">
        <f t="array" ref="O2242">_xlfn.IFS(orders[[#This Row],[Customer Gender]] = "M", "Male",orders[[#This Row],[Customer Gender]] = "F", "Female",orders[[#This Row],[Customer Gender]] = "O", "Others",TRUE,"Unknown")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 - orders[[#This Row],[Order Date]]</f>
        <v>2</v>
      </c>
      <c r="N2243">
        <f>WEEKNUM(orders[[#This Row],[Order Date]])</f>
        <v>13</v>
      </c>
      <c r="O2243" t="str" cm="1">
        <f t="array" ref="O2243">_xlfn.IFS(orders[[#This Row],[Customer Gender]] = "M", "Male",orders[[#This Row],[Customer Gender]] = "F", "Female",orders[[#This Row],[Customer Gender]] = "O", "Others",TRUE,"Unknown")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 - orders[[#This Row],[Order Date]]</f>
        <v>4</v>
      </c>
      <c r="N2244">
        <f>WEEKNUM(orders[[#This Row],[Order Date]])</f>
        <v>13</v>
      </c>
      <c r="O2244" t="str" cm="1">
        <f t="array" ref="O2244">_xlfn.IFS(orders[[#This Row],[Customer Gender]] = "M", "Male",orders[[#This Row],[Customer Gender]] = "F", "Female",orders[[#This Row],[Customer Gender]] = "O", "Others",TRUE,"Unknown")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 - orders[[#This Row],[Order Date]]</f>
        <v>2</v>
      </c>
      <c r="N2245">
        <f>WEEKNUM(orders[[#This Row],[Order Date]])</f>
        <v>13</v>
      </c>
      <c r="O2245" t="str" cm="1">
        <f t="array" ref="O2245">_xlfn.IFS(orders[[#This Row],[Customer Gender]] = "M", "Male",orders[[#This Row],[Customer Gender]] = "F", "Female",orders[[#This Row],[Customer Gender]] = "O", "Others",TRUE,"Unknown")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 - orders[[#This Row],[Order Date]]</f>
        <v>1</v>
      </c>
      <c r="N2246">
        <f>WEEKNUM(orders[[#This Row],[Order Date]])</f>
        <v>13</v>
      </c>
      <c r="O2246" t="str" cm="1">
        <f t="array" ref="O2246">_xlfn.IFS(orders[[#This Row],[Customer Gender]] = "M", "Male",orders[[#This Row],[Customer Gender]] = "F", "Female",orders[[#This Row],[Customer Gender]] = "O", "Others",TRUE,"Unknown")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 - orders[[#This Row],[Order Date]]</f>
        <v>1</v>
      </c>
      <c r="N2247">
        <f>WEEKNUM(orders[[#This Row],[Order Date]])</f>
        <v>13</v>
      </c>
      <c r="O2247" t="str" cm="1">
        <f t="array" ref="O2247">_xlfn.IFS(orders[[#This Row],[Customer Gender]] = "M", "Male",orders[[#This Row],[Customer Gender]] = "F", "Female",orders[[#This Row],[Customer Gender]] = "O", "Others",TRUE,"Unknown")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 - orders[[#This Row],[Order Date]]</f>
        <v>3</v>
      </c>
      <c r="N2248">
        <f>WEEKNUM(orders[[#This Row],[Order Date]])</f>
        <v>13</v>
      </c>
      <c r="O2248" t="str" cm="1">
        <f t="array" ref="O2248">_xlfn.IFS(orders[[#This Row],[Customer Gender]] = "M", "Male",orders[[#This Row],[Customer Gender]] = "F", "Female",orders[[#This Row],[Customer Gender]] = "O", "Others",TRUE,"Unknown")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 - orders[[#This Row],[Order Date]]</f>
        <v>1</v>
      </c>
      <c r="N2249">
        <f>WEEKNUM(orders[[#This Row],[Order Date]])</f>
        <v>13</v>
      </c>
      <c r="O2249" t="str" cm="1">
        <f t="array" ref="O2249">_xlfn.IFS(orders[[#This Row],[Customer Gender]] = "M", "Male",orders[[#This Row],[Customer Gender]] = "F", "Female",orders[[#This Row],[Customer Gender]] = "O", "Others",TRUE,"Unknown")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 - orders[[#This Row],[Order Date]]</f>
        <v>3</v>
      </c>
      <c r="N2250">
        <f>WEEKNUM(orders[[#This Row],[Order Date]])</f>
        <v>13</v>
      </c>
      <c r="O2250" t="str" cm="1">
        <f t="array" ref="O2250">_xlfn.IFS(orders[[#This Row],[Customer Gender]] = "M", "Male",orders[[#This Row],[Customer Gender]] = "F", "Female",orders[[#This Row],[Customer Gender]] = "O", "Others",TRUE,"Unknown")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 - orders[[#This Row],[Order Date]]</f>
        <v>2</v>
      </c>
      <c r="N2251">
        <f>WEEKNUM(orders[[#This Row],[Order Date]])</f>
        <v>13</v>
      </c>
      <c r="O2251" t="str" cm="1">
        <f t="array" ref="O2251">_xlfn.IFS(orders[[#This Row],[Customer Gender]] = "M", "Male",orders[[#This Row],[Customer Gender]] = "F", "Female",orders[[#This Row],[Customer Gender]] = "O", "Others",TRUE,"Unknown")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 - orders[[#This Row],[Order Date]]</f>
        <v>1</v>
      </c>
      <c r="N2252">
        <f>WEEKNUM(orders[[#This Row],[Order Date]])</f>
        <v>13</v>
      </c>
      <c r="O2252" t="str" cm="1">
        <f t="array" ref="O2252">_xlfn.IFS(orders[[#This Row],[Customer Gender]] = "M", "Male",orders[[#This Row],[Customer Gender]] = "F", "Female",orders[[#This Row],[Customer Gender]] = "O", "Others",TRUE,"Unknown")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 - orders[[#This Row],[Order Date]]</f>
        <v>1</v>
      </c>
      <c r="N2253">
        <f>WEEKNUM(orders[[#This Row],[Order Date]])</f>
        <v>13</v>
      </c>
      <c r="O2253" t="str" cm="1">
        <f t="array" ref="O2253">_xlfn.IFS(orders[[#This Row],[Customer Gender]] = "M", "Male",orders[[#This Row],[Customer Gender]] = "F", "Female",orders[[#This Row],[Customer Gender]] = "O", "Others",TRUE,"Unknown")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 - orders[[#This Row],[Order Date]]</f>
        <v>1</v>
      </c>
      <c r="N2254">
        <f>WEEKNUM(orders[[#This Row],[Order Date]])</f>
        <v>13</v>
      </c>
      <c r="O2254" t="str" cm="1">
        <f t="array" ref="O2254">_xlfn.IFS(orders[[#This Row],[Customer Gender]] = "M", "Male",orders[[#This Row],[Customer Gender]] = "F", "Female",orders[[#This Row],[Customer Gender]] = "O", "Others",TRUE,"Unknown")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 - orders[[#This Row],[Order Date]]</f>
        <v>2</v>
      </c>
      <c r="N2255">
        <f>WEEKNUM(orders[[#This Row],[Order Date]])</f>
        <v>13</v>
      </c>
      <c r="O2255" t="str" cm="1">
        <f t="array" ref="O2255">_xlfn.IFS(orders[[#This Row],[Customer Gender]] = "M", "Male",orders[[#This Row],[Customer Gender]] = "F", "Female",orders[[#This Row],[Customer Gender]] = "O", "Others",TRUE,"Unknown")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 - orders[[#This Row],[Order Date]]</f>
        <v>3</v>
      </c>
      <c r="N2256">
        <f>WEEKNUM(orders[[#This Row],[Order Date]])</f>
        <v>13</v>
      </c>
      <c r="O2256" t="str" cm="1">
        <f t="array" ref="O2256">_xlfn.IFS(orders[[#This Row],[Customer Gender]] = "M", "Male",orders[[#This Row],[Customer Gender]] = "F", "Female",orders[[#This Row],[Customer Gender]] = "O", "Others",TRUE,"Unknown")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 - orders[[#This Row],[Order Date]]</f>
        <v>2</v>
      </c>
      <c r="N2257">
        <f>WEEKNUM(orders[[#This Row],[Order Date]])</f>
        <v>13</v>
      </c>
      <c r="O2257" t="str" cm="1">
        <f t="array" ref="O2257">_xlfn.IFS(orders[[#This Row],[Customer Gender]] = "M", "Male",orders[[#This Row],[Customer Gender]] = "F", "Female",orders[[#This Row],[Customer Gender]] = "O", "Others",TRUE,"Unknown")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 - orders[[#This Row],[Order Date]]</f>
        <v>1</v>
      </c>
      <c r="N2258">
        <f>WEEKNUM(orders[[#This Row],[Order Date]])</f>
        <v>13</v>
      </c>
      <c r="O2258" t="str" cm="1">
        <f t="array" ref="O2258">_xlfn.IFS(orders[[#This Row],[Customer Gender]] = "M", "Male",orders[[#This Row],[Customer Gender]] = "F", "Female",orders[[#This Row],[Customer Gender]] = "O", "Others",TRUE,"Unknown")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 - orders[[#This Row],[Order Date]]</f>
        <v>1</v>
      </c>
      <c r="N2259">
        <f>WEEKNUM(orders[[#This Row],[Order Date]])</f>
        <v>13</v>
      </c>
      <c r="O2259" t="str" cm="1">
        <f t="array" ref="O2259">_xlfn.IFS(orders[[#This Row],[Customer Gender]] = "M", "Male",orders[[#This Row],[Customer Gender]] = "F", "Female",orders[[#This Row],[Customer Gender]] = "O", "Others",TRUE,"Unknown")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 - orders[[#This Row],[Order Date]]</f>
        <v>2</v>
      </c>
      <c r="N2260">
        <f>WEEKNUM(orders[[#This Row],[Order Date]])</f>
        <v>13</v>
      </c>
      <c r="O2260" t="str" cm="1">
        <f t="array" ref="O2260">_xlfn.IFS(orders[[#This Row],[Customer Gender]] = "M", "Male",orders[[#This Row],[Customer Gender]] = "F", "Female",orders[[#This Row],[Customer Gender]] = "O", "Others",TRUE,"Unknown")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 - orders[[#This Row],[Order Date]]</f>
        <v>1</v>
      </c>
      <c r="N2261">
        <f>WEEKNUM(orders[[#This Row],[Order Date]])</f>
        <v>13</v>
      </c>
      <c r="O2261" t="str" cm="1">
        <f t="array" ref="O2261">_xlfn.IFS(orders[[#This Row],[Customer Gender]] = "M", "Male",orders[[#This Row],[Customer Gender]] = "F", "Female",orders[[#This Row],[Customer Gender]] = "O", "Others",TRUE,"Unknown")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 - orders[[#This Row],[Order Date]]</f>
        <v>2</v>
      </c>
      <c r="N2262">
        <f>WEEKNUM(orders[[#This Row],[Order Date]])</f>
        <v>13</v>
      </c>
      <c r="O2262" t="str" cm="1">
        <f t="array" ref="O2262">_xlfn.IFS(orders[[#This Row],[Customer Gender]] = "M", "Male",orders[[#This Row],[Customer Gender]] = "F", "Female",orders[[#This Row],[Customer Gender]] = "O", "Others",TRUE,"Unknown")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 - orders[[#This Row],[Order Date]]</f>
        <v>4</v>
      </c>
      <c r="N2263">
        <f>WEEKNUM(orders[[#This Row],[Order Date]])</f>
        <v>13</v>
      </c>
      <c r="O2263" t="str" cm="1">
        <f t="array" ref="O2263">_xlfn.IFS(orders[[#This Row],[Customer Gender]] = "M", "Male",orders[[#This Row],[Customer Gender]] = "F", "Female",orders[[#This Row],[Customer Gender]] = "O", "Others",TRUE,"Unknown")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 - orders[[#This Row],[Order Date]]</f>
        <v>1</v>
      </c>
      <c r="N2264">
        <f>WEEKNUM(orders[[#This Row],[Order Date]])</f>
        <v>13</v>
      </c>
      <c r="O2264" t="str" cm="1">
        <f t="array" ref="O2264">_xlfn.IFS(orders[[#This Row],[Customer Gender]] = "M", "Male",orders[[#This Row],[Customer Gender]] = "F", "Female",orders[[#This Row],[Customer Gender]] = "O", "Others",TRUE,"Unknown")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 - orders[[#This Row],[Order Date]]</f>
        <v>1</v>
      </c>
      <c r="N2265">
        <f>WEEKNUM(orders[[#This Row],[Order Date]])</f>
        <v>13</v>
      </c>
      <c r="O2265" t="str" cm="1">
        <f t="array" ref="O2265">_xlfn.IFS(orders[[#This Row],[Customer Gender]] = "M", "Male",orders[[#This Row],[Customer Gender]] = "F", "Female",orders[[#This Row],[Customer Gender]] = "O", "Others",TRUE,"Unknown")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 - orders[[#This Row],[Order Date]]</f>
        <v>1</v>
      </c>
      <c r="N2266">
        <f>WEEKNUM(orders[[#This Row],[Order Date]])</f>
        <v>13</v>
      </c>
      <c r="O2266" t="str" cm="1">
        <f t="array" ref="O2266">_xlfn.IFS(orders[[#This Row],[Customer Gender]] = "M", "Male",orders[[#This Row],[Customer Gender]] = "F", "Female",orders[[#This Row],[Customer Gender]] = "O", "Others",TRUE,"Unknown")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 - orders[[#This Row],[Order Date]]</f>
        <v>5</v>
      </c>
      <c r="N2267">
        <f>WEEKNUM(orders[[#This Row],[Order Date]])</f>
        <v>13</v>
      </c>
      <c r="O2267" t="str" cm="1">
        <f t="array" ref="O2267">_xlfn.IFS(orders[[#This Row],[Customer Gender]] = "M", "Male",orders[[#This Row],[Customer Gender]] = "F", "Female",orders[[#This Row],[Customer Gender]] = "O", "Others",TRUE,"Unknown")</f>
        <v>Others</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 - orders[[#This Row],[Order Date]]</f>
        <v>1</v>
      </c>
      <c r="N2268">
        <f>WEEKNUM(orders[[#This Row],[Order Date]])</f>
        <v>13</v>
      </c>
      <c r="O2268" t="str" cm="1">
        <f t="array" ref="O2268">_xlfn.IFS(orders[[#This Row],[Customer Gender]] = "M", "Male",orders[[#This Row],[Customer Gender]] = "F", "Female",orders[[#This Row],[Customer Gender]] = "O", "Others",TRUE,"Unknown")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 - orders[[#This Row],[Order Date]]</f>
        <v>1</v>
      </c>
      <c r="N2269">
        <f>WEEKNUM(orders[[#This Row],[Order Date]])</f>
        <v>13</v>
      </c>
      <c r="O2269" t="str" cm="1">
        <f t="array" ref="O2269">_xlfn.IFS(orders[[#This Row],[Customer Gender]] = "M", "Male",orders[[#This Row],[Customer Gender]] = "F", "Female",orders[[#This Row],[Customer Gender]] = "O", "Others",TRUE,"Unknown")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 - orders[[#This Row],[Order Date]]</f>
        <v>1</v>
      </c>
      <c r="N2270">
        <f>WEEKNUM(orders[[#This Row],[Order Date]])</f>
        <v>13</v>
      </c>
      <c r="O2270" t="str" cm="1">
        <f t="array" ref="O2270">_xlfn.IFS(orders[[#This Row],[Customer Gender]] = "M", "Male",orders[[#This Row],[Customer Gender]] = "F", "Female",orders[[#This Row],[Customer Gender]] = "O", "Others",TRUE,"Unknown")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 - orders[[#This Row],[Order Date]]</f>
        <v>1</v>
      </c>
      <c r="N2271">
        <f>WEEKNUM(orders[[#This Row],[Order Date]])</f>
        <v>13</v>
      </c>
      <c r="O2271" t="str" cm="1">
        <f t="array" ref="O2271">_xlfn.IFS(orders[[#This Row],[Customer Gender]] = "M", "Male",orders[[#This Row],[Customer Gender]] = "F", "Female",orders[[#This Row],[Customer Gender]] = "O", "Others",TRUE,"Unknown")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 - orders[[#This Row],[Order Date]]</f>
        <v>3</v>
      </c>
      <c r="N2272">
        <f>WEEKNUM(orders[[#This Row],[Order Date]])</f>
        <v>13</v>
      </c>
      <c r="O2272" t="str" cm="1">
        <f t="array" ref="O2272">_xlfn.IFS(orders[[#This Row],[Customer Gender]] = "M", "Male",orders[[#This Row],[Customer Gender]] = "F", "Female",orders[[#This Row],[Customer Gender]] = "O", "Others",TRUE,"Unknown")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 - orders[[#This Row],[Order Date]]</f>
        <v>3</v>
      </c>
      <c r="N2273">
        <f>WEEKNUM(orders[[#This Row],[Order Date]])</f>
        <v>13</v>
      </c>
      <c r="O2273" t="str" cm="1">
        <f t="array" ref="O2273">_xlfn.IFS(orders[[#This Row],[Customer Gender]] = "M", "Male",orders[[#This Row],[Customer Gender]] = "F", "Female",orders[[#This Row],[Customer Gender]] = "O", "Others",TRUE,"Unknown")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 - orders[[#This Row],[Order Date]]</f>
        <v>2</v>
      </c>
      <c r="N2274">
        <f>WEEKNUM(orders[[#This Row],[Order Date]])</f>
        <v>13</v>
      </c>
      <c r="O2274" t="str" cm="1">
        <f t="array" ref="O2274">_xlfn.IFS(orders[[#This Row],[Customer Gender]] = "M", "Male",orders[[#This Row],[Customer Gender]] = "F", "Female",orders[[#This Row],[Customer Gender]] = "O", "Others",TRUE,"Unknown")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 - orders[[#This Row],[Order Date]]</f>
        <v>2</v>
      </c>
      <c r="N2275">
        <f>WEEKNUM(orders[[#This Row],[Order Date]])</f>
        <v>13</v>
      </c>
      <c r="O2275" t="str" cm="1">
        <f t="array" ref="O2275">_xlfn.IFS(orders[[#This Row],[Customer Gender]] = "M", "Male",orders[[#This Row],[Customer Gender]] = "F", "Female",orders[[#This Row],[Customer Gender]] = "O", "Others",TRUE,"Unknown")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 - orders[[#This Row],[Order Date]]</f>
        <v>2</v>
      </c>
      <c r="N2276">
        <f>WEEKNUM(orders[[#This Row],[Order Date]])</f>
        <v>13</v>
      </c>
      <c r="O2276" t="str" cm="1">
        <f t="array" ref="O2276">_xlfn.IFS(orders[[#This Row],[Customer Gender]] = "M", "Male",orders[[#This Row],[Customer Gender]] = "F", "Female",orders[[#This Row],[Customer Gender]] = "O", "Others",TRUE,"Unknown")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 - orders[[#This Row],[Order Date]]</f>
        <v>2</v>
      </c>
      <c r="N2277">
        <f>WEEKNUM(orders[[#This Row],[Order Date]])</f>
        <v>13</v>
      </c>
      <c r="O2277" t="str" cm="1">
        <f t="array" ref="O2277">_xlfn.IFS(orders[[#This Row],[Customer Gender]] = "M", "Male",orders[[#This Row],[Customer Gender]] = "F", "Female",orders[[#This Row],[Customer Gender]] = "O", "Others",TRUE,"Unknown")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 - orders[[#This Row],[Order Date]]</f>
        <v>3</v>
      </c>
      <c r="N2278">
        <f>WEEKNUM(orders[[#This Row],[Order Date]])</f>
        <v>13</v>
      </c>
      <c r="O2278" t="str" cm="1">
        <f t="array" ref="O2278">_xlfn.IFS(orders[[#This Row],[Customer Gender]] = "M", "Male",orders[[#This Row],[Customer Gender]] = "F", "Female",orders[[#This Row],[Customer Gender]] = "O", "Others",TRUE,"Unknown")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 - orders[[#This Row],[Order Date]]</f>
        <v>1</v>
      </c>
      <c r="N2279">
        <f>WEEKNUM(orders[[#This Row],[Order Date]])</f>
        <v>13</v>
      </c>
      <c r="O2279" t="str" cm="1">
        <f t="array" ref="O2279">_xlfn.IFS(orders[[#This Row],[Customer Gender]] = "M", "Male",orders[[#This Row],[Customer Gender]] = "F", "Female",orders[[#This Row],[Customer Gender]] = "O", "Others",TRUE,"Unknown")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 - orders[[#This Row],[Order Date]]</f>
        <v>3</v>
      </c>
      <c r="N2280">
        <f>WEEKNUM(orders[[#This Row],[Order Date]])</f>
        <v>13</v>
      </c>
      <c r="O2280" t="str" cm="1">
        <f t="array" ref="O2280">_xlfn.IFS(orders[[#This Row],[Customer Gender]] = "M", "Male",orders[[#This Row],[Customer Gender]] = "F", "Female",orders[[#This Row],[Customer Gender]] = "O", "Others",TRUE,"Unknown")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 - orders[[#This Row],[Order Date]]</f>
        <v>1</v>
      </c>
      <c r="N2281">
        <f>WEEKNUM(orders[[#This Row],[Order Date]])</f>
        <v>13</v>
      </c>
      <c r="O2281" t="str" cm="1">
        <f t="array" ref="O2281">_xlfn.IFS(orders[[#This Row],[Customer Gender]] = "M", "Male",orders[[#This Row],[Customer Gender]] = "F", "Female",orders[[#This Row],[Customer Gender]] = "O", "Others",TRUE,"Unknown")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 - orders[[#This Row],[Order Date]]</f>
        <v>1</v>
      </c>
      <c r="N2282">
        <f>WEEKNUM(orders[[#This Row],[Order Date]])</f>
        <v>13</v>
      </c>
      <c r="O2282" t="str" cm="1">
        <f t="array" ref="O2282">_xlfn.IFS(orders[[#This Row],[Customer Gender]] = "M", "Male",orders[[#This Row],[Customer Gender]] = "F", "Female",orders[[#This Row],[Customer Gender]] = "O", "Others",TRUE,"Unknown")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 - orders[[#This Row],[Order Date]]</f>
        <v>4</v>
      </c>
      <c r="N2283">
        <f>WEEKNUM(orders[[#This Row],[Order Date]])</f>
        <v>13</v>
      </c>
      <c r="O2283" t="str" cm="1">
        <f t="array" ref="O2283">_xlfn.IFS(orders[[#This Row],[Customer Gender]] = "M", "Male",orders[[#This Row],[Customer Gender]] = "F", "Female",orders[[#This Row],[Customer Gender]] = "O", "Others",TRUE,"Unknown")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 - orders[[#This Row],[Order Date]]</f>
        <v>0</v>
      </c>
      <c r="N2284">
        <f>WEEKNUM(orders[[#This Row],[Order Date]])</f>
        <v>13</v>
      </c>
      <c r="O2284" t="str" cm="1">
        <f t="array" ref="O2284">_xlfn.IFS(orders[[#This Row],[Customer Gender]] = "M", "Male",orders[[#This Row],[Customer Gender]] = "F", "Female",orders[[#This Row],[Customer Gender]] = "O", "Others",TRUE,"Unknown")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 - orders[[#This Row],[Order Date]]</f>
        <v>2</v>
      </c>
      <c r="N2285">
        <f>WEEKNUM(orders[[#This Row],[Order Date]])</f>
        <v>13</v>
      </c>
      <c r="O2285" t="str" cm="1">
        <f t="array" ref="O2285">_xlfn.IFS(orders[[#This Row],[Customer Gender]] = "M", "Male",orders[[#This Row],[Customer Gender]] = "F", "Female",orders[[#This Row],[Customer Gender]] = "O", "Others",TRUE,"Unknown")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 - orders[[#This Row],[Order Date]]</f>
        <v>1</v>
      </c>
      <c r="N2286">
        <f>WEEKNUM(orders[[#This Row],[Order Date]])</f>
        <v>13</v>
      </c>
      <c r="O2286" t="str" cm="1">
        <f t="array" ref="O2286">_xlfn.IFS(orders[[#This Row],[Customer Gender]] = "M", "Male",orders[[#This Row],[Customer Gender]] = "F", "Female",orders[[#This Row],[Customer Gender]] = "O", "Others",TRUE,"Unknown")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 - orders[[#This Row],[Order Date]]</f>
        <v>2</v>
      </c>
      <c r="N2287">
        <f>WEEKNUM(orders[[#This Row],[Order Date]])</f>
        <v>13</v>
      </c>
      <c r="O2287" t="str" cm="1">
        <f t="array" ref="O2287">_xlfn.IFS(orders[[#This Row],[Customer Gender]] = "M", "Male",orders[[#This Row],[Customer Gender]] = "F", "Female",orders[[#This Row],[Customer Gender]] = "O", "Others",TRUE,"Unknown")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 - orders[[#This Row],[Order Date]]</f>
        <v>1</v>
      </c>
      <c r="N2288">
        <f>WEEKNUM(orders[[#This Row],[Order Date]])</f>
        <v>13</v>
      </c>
      <c r="O2288" t="str" cm="1">
        <f t="array" ref="O2288">_xlfn.IFS(orders[[#This Row],[Customer Gender]] = "M", "Male",orders[[#This Row],[Customer Gender]] = "F", "Female",orders[[#This Row],[Customer Gender]] = "O", "Others",TRUE,"Unknown")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 - orders[[#This Row],[Order Date]]</f>
        <v>3</v>
      </c>
      <c r="N2289">
        <f>WEEKNUM(orders[[#This Row],[Order Date]])</f>
        <v>13</v>
      </c>
      <c r="O2289" t="str" cm="1">
        <f t="array" ref="O2289">_xlfn.IFS(orders[[#This Row],[Customer Gender]] = "M", "Male",orders[[#This Row],[Customer Gender]] = "F", "Female",orders[[#This Row],[Customer Gender]] = "O", "Others",TRUE,"Unknown")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 - orders[[#This Row],[Order Date]]</f>
        <v>2</v>
      </c>
      <c r="N2290">
        <f>WEEKNUM(orders[[#This Row],[Order Date]])</f>
        <v>13</v>
      </c>
      <c r="O2290" t="str" cm="1">
        <f t="array" ref="O2290">_xlfn.IFS(orders[[#This Row],[Customer Gender]] = "M", "Male",orders[[#This Row],[Customer Gender]] = "F", "Female",orders[[#This Row],[Customer Gender]] = "O", "Others",TRUE,"Unknown")</f>
        <v>Others</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 - orders[[#This Row],[Order Date]]</f>
        <v>1</v>
      </c>
      <c r="N2291">
        <f>WEEKNUM(orders[[#This Row],[Order Date]])</f>
        <v>13</v>
      </c>
      <c r="O2291" t="str" cm="1">
        <f t="array" ref="O2291">_xlfn.IFS(orders[[#This Row],[Customer Gender]] = "M", "Male",orders[[#This Row],[Customer Gender]] = "F", "Female",orders[[#This Row],[Customer Gender]] = "O", "Others",TRUE,"Unknown")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 - orders[[#This Row],[Order Date]]</f>
        <v>6</v>
      </c>
      <c r="N2292">
        <f>WEEKNUM(orders[[#This Row],[Order Date]])</f>
        <v>13</v>
      </c>
      <c r="O2292" t="str" cm="1">
        <f t="array" ref="O2292">_xlfn.IFS(orders[[#This Row],[Customer Gender]] = "M", "Male",orders[[#This Row],[Customer Gender]] = "F", "Female",orders[[#This Row],[Customer Gender]] = "O", "Others",TRUE,"Unknown")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 - orders[[#This Row],[Order Date]]</f>
        <v>1</v>
      </c>
      <c r="N2293">
        <f>WEEKNUM(orders[[#This Row],[Order Date]])</f>
        <v>13</v>
      </c>
      <c r="O2293" t="str" cm="1">
        <f t="array" ref="O2293">_xlfn.IFS(orders[[#This Row],[Customer Gender]] = "M", "Male",orders[[#This Row],[Customer Gender]] = "F", "Female",orders[[#This Row],[Customer Gender]] = "O", "Others",TRUE,"Unknown")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 - orders[[#This Row],[Order Date]]</f>
        <v>1</v>
      </c>
      <c r="N2294">
        <f>WEEKNUM(orders[[#This Row],[Order Date]])</f>
        <v>13</v>
      </c>
      <c r="O2294" t="str" cm="1">
        <f t="array" ref="O2294">_xlfn.IFS(orders[[#This Row],[Customer Gender]] = "M", "Male",orders[[#This Row],[Customer Gender]] = "F", "Female",orders[[#This Row],[Customer Gender]] = "O", "Others",TRUE,"Unknown")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 - orders[[#This Row],[Order Date]]</f>
        <v>2</v>
      </c>
      <c r="N2295">
        <f>WEEKNUM(orders[[#This Row],[Order Date]])</f>
        <v>13</v>
      </c>
      <c r="O2295" t="str" cm="1">
        <f t="array" ref="O2295">_xlfn.IFS(orders[[#This Row],[Customer Gender]] = "M", "Male",orders[[#This Row],[Customer Gender]] = "F", "Female",orders[[#This Row],[Customer Gender]] = "O", "Others",TRUE,"Unknown")</f>
        <v>Others</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 - orders[[#This Row],[Order Date]]</f>
        <v>4</v>
      </c>
      <c r="N2296">
        <f>WEEKNUM(orders[[#This Row],[Order Date]])</f>
        <v>13</v>
      </c>
      <c r="O2296" t="str" cm="1">
        <f t="array" ref="O2296">_xlfn.IFS(orders[[#This Row],[Customer Gender]] = "M", "Male",orders[[#This Row],[Customer Gender]] = "F", "Female",orders[[#This Row],[Customer Gender]] = "O", "Others",TRUE,"Unknown")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 - orders[[#This Row],[Order Date]]</f>
        <v>2</v>
      </c>
      <c r="N2297">
        <f>WEEKNUM(orders[[#This Row],[Order Date]])</f>
        <v>13</v>
      </c>
      <c r="O2297" t="str" cm="1">
        <f t="array" ref="O2297">_xlfn.IFS(orders[[#This Row],[Customer Gender]] = "M", "Male",orders[[#This Row],[Customer Gender]] = "F", "Female",orders[[#This Row],[Customer Gender]] = "O", "Others",TRUE,"Unknown")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 - orders[[#This Row],[Order Date]]</f>
        <v>1</v>
      </c>
      <c r="N2298">
        <f>WEEKNUM(orders[[#This Row],[Order Date]])</f>
        <v>13</v>
      </c>
      <c r="O2298" t="str" cm="1">
        <f t="array" ref="O2298">_xlfn.IFS(orders[[#This Row],[Customer Gender]] = "M", "Male",orders[[#This Row],[Customer Gender]] = "F", "Female",orders[[#This Row],[Customer Gender]] = "O", "Others",TRUE,"Unknown")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 - orders[[#This Row],[Order Date]]</f>
        <v>2</v>
      </c>
      <c r="N2299">
        <f>WEEKNUM(orders[[#This Row],[Order Date]])</f>
        <v>13</v>
      </c>
      <c r="O2299" t="str" cm="1">
        <f t="array" ref="O2299">_xlfn.IFS(orders[[#This Row],[Customer Gender]] = "M", "Male",orders[[#This Row],[Customer Gender]] = "F", "Female",orders[[#This Row],[Customer Gender]] = "O", "Others",TRUE,"Unknown")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 - orders[[#This Row],[Order Date]]</f>
        <v>1</v>
      </c>
      <c r="N2300">
        <f>WEEKNUM(orders[[#This Row],[Order Date]])</f>
        <v>13</v>
      </c>
      <c r="O2300" t="str" cm="1">
        <f t="array" ref="O2300">_xlfn.IFS(orders[[#This Row],[Customer Gender]] = "M", "Male",orders[[#This Row],[Customer Gender]] = "F", "Female",orders[[#This Row],[Customer Gender]] = "O", "Others",TRUE,"Unknown")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 - orders[[#This Row],[Order Date]]</f>
        <v>14</v>
      </c>
      <c r="N2301">
        <f>WEEKNUM(orders[[#This Row],[Order Date]])</f>
        <v>13</v>
      </c>
      <c r="O2301" t="str" cm="1">
        <f t="array" ref="O2301">_xlfn.IFS(orders[[#This Row],[Customer Gender]] = "M", "Male",orders[[#This Row],[Customer Gender]] = "F", "Female",orders[[#This Row],[Customer Gender]] = "O", "Others",TRUE,"Unknown")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 - orders[[#This Row],[Order Date]]</f>
        <v>1</v>
      </c>
      <c r="N2302">
        <f>WEEKNUM(orders[[#This Row],[Order Date]])</f>
        <v>13</v>
      </c>
      <c r="O2302" t="str" cm="1">
        <f t="array" ref="O2302">_xlfn.IFS(orders[[#This Row],[Customer Gender]] = "M", "Male",orders[[#This Row],[Customer Gender]] = "F", "Female",orders[[#This Row],[Customer Gender]] = "O", "Others",TRUE,"Unknown")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 - orders[[#This Row],[Order Date]]</f>
        <v>7</v>
      </c>
      <c r="N2303">
        <f>WEEKNUM(orders[[#This Row],[Order Date]])</f>
        <v>13</v>
      </c>
      <c r="O2303" t="str" cm="1">
        <f t="array" ref="O2303">_xlfn.IFS(orders[[#This Row],[Customer Gender]] = "M", "Male",orders[[#This Row],[Customer Gender]] = "F", "Female",orders[[#This Row],[Customer Gender]] = "O", "Others",TRUE,"Unknown")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 - orders[[#This Row],[Order Date]]</f>
        <v>2</v>
      </c>
      <c r="N2304">
        <f>WEEKNUM(orders[[#This Row],[Order Date]])</f>
        <v>13</v>
      </c>
      <c r="O2304" t="str" cm="1">
        <f t="array" ref="O2304">_xlfn.IFS(orders[[#This Row],[Customer Gender]] = "M", "Male",orders[[#This Row],[Customer Gender]] = "F", "Female",orders[[#This Row],[Customer Gender]] = "O", "Others",TRUE,"Unknown")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 - orders[[#This Row],[Order Date]]</f>
        <v>3</v>
      </c>
      <c r="N2305">
        <f>WEEKNUM(orders[[#This Row],[Order Date]])</f>
        <v>13</v>
      </c>
      <c r="O2305" t="str" cm="1">
        <f t="array" ref="O2305">_xlfn.IFS(orders[[#This Row],[Customer Gender]] = "M", "Male",orders[[#This Row],[Customer Gender]] = "F", "Female",orders[[#This Row],[Customer Gender]] = "O", "Others",TRUE,"Unknown")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 - orders[[#This Row],[Order Date]]</f>
        <v>4</v>
      </c>
      <c r="N2306">
        <f>WEEKNUM(orders[[#This Row],[Order Date]])</f>
        <v>13</v>
      </c>
      <c r="O2306" t="str" cm="1">
        <f t="array" ref="O2306">_xlfn.IFS(orders[[#This Row],[Customer Gender]] = "M", "Male",orders[[#This Row],[Customer Gender]] = "F", "Female",orders[[#This Row],[Customer Gender]] = "O", "Others",TRUE,"Unknown")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 - orders[[#This Row],[Order Date]]</f>
        <v>1</v>
      </c>
      <c r="N2307">
        <f>WEEKNUM(orders[[#This Row],[Order Date]])</f>
        <v>13</v>
      </c>
      <c r="O2307" t="str" cm="1">
        <f t="array" ref="O2307">_xlfn.IFS(orders[[#This Row],[Customer Gender]] = "M", "Male",orders[[#This Row],[Customer Gender]] = "F", "Female",orders[[#This Row],[Customer Gender]] = "O", "Others",TRUE,"Unknown")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 - orders[[#This Row],[Order Date]]</f>
        <v>2</v>
      </c>
      <c r="N2308">
        <f>WEEKNUM(orders[[#This Row],[Order Date]])</f>
        <v>13</v>
      </c>
      <c r="O2308" t="str" cm="1">
        <f t="array" ref="O2308">_xlfn.IFS(orders[[#This Row],[Customer Gender]] = "M", "Male",orders[[#This Row],[Customer Gender]] = "F", "Female",orders[[#This Row],[Customer Gender]] = "O", "Others",TRUE,"Unknown")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 - orders[[#This Row],[Order Date]]</f>
        <v>10</v>
      </c>
      <c r="N2309">
        <f>WEEKNUM(orders[[#This Row],[Order Date]])</f>
        <v>13</v>
      </c>
      <c r="O2309" t="str" cm="1">
        <f t="array" ref="O2309">_xlfn.IFS(orders[[#This Row],[Customer Gender]] = "M", "Male",orders[[#This Row],[Customer Gender]] = "F", "Female",orders[[#This Row],[Customer Gender]] = "O", "Others",TRUE,"Unknown")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 - orders[[#This Row],[Order Date]]</f>
        <v>0</v>
      </c>
      <c r="N2310">
        <f>WEEKNUM(orders[[#This Row],[Order Date]])</f>
        <v>13</v>
      </c>
      <c r="O2310" t="str" cm="1">
        <f t="array" ref="O2310">_xlfn.IFS(orders[[#This Row],[Customer Gender]] = "M", "Male",orders[[#This Row],[Customer Gender]] = "F", "Female",orders[[#This Row],[Customer Gender]] = "O", "Others",TRUE,"Unknown")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 - orders[[#This Row],[Order Date]]</f>
        <v>2</v>
      </c>
      <c r="N2311">
        <f>WEEKNUM(orders[[#This Row],[Order Date]])</f>
        <v>13</v>
      </c>
      <c r="O2311" t="str" cm="1">
        <f t="array" ref="O2311">_xlfn.IFS(orders[[#This Row],[Customer Gender]] = "M", "Male",orders[[#This Row],[Customer Gender]] = "F", "Female",orders[[#This Row],[Customer Gender]] = "O", "Others",TRUE,"Unknown")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 - orders[[#This Row],[Order Date]]</f>
        <v>1</v>
      </c>
      <c r="N2312">
        <f>WEEKNUM(orders[[#This Row],[Order Date]])</f>
        <v>13</v>
      </c>
      <c r="O2312" t="str" cm="1">
        <f t="array" ref="O2312">_xlfn.IFS(orders[[#This Row],[Customer Gender]] = "M", "Male",orders[[#This Row],[Customer Gender]] = "F", "Female",orders[[#This Row],[Customer Gender]] = "O", "Others",TRUE,"Unknown")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 - orders[[#This Row],[Order Date]]</f>
        <v>2</v>
      </c>
      <c r="N2313">
        <f>WEEKNUM(orders[[#This Row],[Order Date]])</f>
        <v>13</v>
      </c>
      <c r="O2313" t="str" cm="1">
        <f t="array" ref="O2313">_xlfn.IFS(orders[[#This Row],[Customer Gender]] = "M", "Male",orders[[#This Row],[Customer Gender]] = "F", "Female",orders[[#This Row],[Customer Gender]] = "O", "Others",TRUE,"Unknown")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 - orders[[#This Row],[Order Date]]</f>
        <v>2</v>
      </c>
      <c r="N2314">
        <f>WEEKNUM(orders[[#This Row],[Order Date]])</f>
        <v>13</v>
      </c>
      <c r="O2314" t="str" cm="1">
        <f t="array" ref="O2314">_xlfn.IFS(orders[[#This Row],[Customer Gender]] = "M", "Male",orders[[#This Row],[Customer Gender]] = "F", "Female",orders[[#This Row],[Customer Gender]] = "O", "Others",TRUE,"Unknown")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 - orders[[#This Row],[Order Date]]</f>
        <v>4</v>
      </c>
      <c r="N2315">
        <f>WEEKNUM(orders[[#This Row],[Order Date]])</f>
        <v>13</v>
      </c>
      <c r="O2315" t="str" cm="1">
        <f t="array" ref="O2315">_xlfn.IFS(orders[[#This Row],[Customer Gender]] = "M", "Male",orders[[#This Row],[Customer Gender]] = "F", "Female",orders[[#This Row],[Customer Gender]] = "O", "Others",TRUE,"Unknown")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 - orders[[#This Row],[Order Date]]</f>
        <v>1</v>
      </c>
      <c r="N2316">
        <f>WEEKNUM(orders[[#This Row],[Order Date]])</f>
        <v>13</v>
      </c>
      <c r="O2316" t="str" cm="1">
        <f t="array" ref="O2316">_xlfn.IFS(orders[[#This Row],[Customer Gender]] = "M", "Male",orders[[#This Row],[Customer Gender]] = "F", "Female",orders[[#This Row],[Customer Gender]] = "O", "Others",TRUE,"Unknown")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 - orders[[#This Row],[Order Date]]</f>
        <v>6</v>
      </c>
      <c r="N2317">
        <f>WEEKNUM(orders[[#This Row],[Order Date]])</f>
        <v>13</v>
      </c>
      <c r="O2317" t="str" cm="1">
        <f t="array" ref="O2317">_xlfn.IFS(orders[[#This Row],[Customer Gender]] = "M", "Male",orders[[#This Row],[Customer Gender]] = "F", "Female",orders[[#This Row],[Customer Gender]] = "O", "Others",TRUE,"Unknown")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 - orders[[#This Row],[Order Date]]</f>
        <v>2</v>
      </c>
      <c r="N2318">
        <f>WEEKNUM(orders[[#This Row],[Order Date]])</f>
        <v>13</v>
      </c>
      <c r="O2318" t="str" cm="1">
        <f t="array" ref="O2318">_xlfn.IFS(orders[[#This Row],[Customer Gender]] = "M", "Male",orders[[#This Row],[Customer Gender]] = "F", "Female",orders[[#This Row],[Customer Gender]] = "O", "Others",TRUE,"Unknown")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 - orders[[#This Row],[Order Date]]</f>
        <v>2</v>
      </c>
      <c r="N2319">
        <f>WEEKNUM(orders[[#This Row],[Order Date]])</f>
        <v>13</v>
      </c>
      <c r="O2319" t="str" cm="1">
        <f t="array" ref="O2319">_xlfn.IFS(orders[[#This Row],[Customer Gender]] = "M", "Male",orders[[#This Row],[Customer Gender]] = "F", "Female",orders[[#This Row],[Customer Gender]] = "O", "Others",TRUE,"Unknown")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 - orders[[#This Row],[Order Date]]</f>
        <v>0</v>
      </c>
      <c r="N2320">
        <f>WEEKNUM(orders[[#This Row],[Order Date]])</f>
        <v>13</v>
      </c>
      <c r="O2320" t="str" cm="1">
        <f t="array" ref="O2320">_xlfn.IFS(orders[[#This Row],[Customer Gender]] = "M", "Male",orders[[#This Row],[Customer Gender]] = "F", "Female",orders[[#This Row],[Customer Gender]] = "O", "Others",TRUE,"Unknown")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 - orders[[#This Row],[Order Date]]</f>
        <v>0</v>
      </c>
      <c r="N2321">
        <f>WEEKNUM(orders[[#This Row],[Order Date]])</f>
        <v>13</v>
      </c>
      <c r="O2321" t="str" cm="1">
        <f t="array" ref="O2321">_xlfn.IFS(orders[[#This Row],[Customer Gender]] = "M", "Male",orders[[#This Row],[Customer Gender]] = "F", "Female",orders[[#This Row],[Customer Gender]] = "O", "Others",TRUE,"Unknown")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 - orders[[#This Row],[Order Date]]</f>
        <v>2</v>
      </c>
      <c r="N2322">
        <f>WEEKNUM(orders[[#This Row],[Order Date]])</f>
        <v>13</v>
      </c>
      <c r="O2322" t="str" cm="1">
        <f t="array" ref="O2322">_xlfn.IFS(orders[[#This Row],[Customer Gender]] = "M", "Male",orders[[#This Row],[Customer Gender]] = "F", "Female",orders[[#This Row],[Customer Gender]] = "O", "Others",TRUE,"Unknown")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 - orders[[#This Row],[Order Date]]</f>
        <v>1</v>
      </c>
      <c r="N2323">
        <f>WEEKNUM(orders[[#This Row],[Order Date]])</f>
        <v>13</v>
      </c>
      <c r="O2323" t="str" cm="1">
        <f t="array" ref="O2323">_xlfn.IFS(orders[[#This Row],[Customer Gender]] = "M", "Male",orders[[#This Row],[Customer Gender]] = "F", "Female",orders[[#This Row],[Customer Gender]] = "O", "Others",TRUE,"Unknown")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 - orders[[#This Row],[Order Date]]</f>
        <v>4</v>
      </c>
      <c r="N2324">
        <f>WEEKNUM(orders[[#This Row],[Order Date]])</f>
        <v>13</v>
      </c>
      <c r="O2324" t="str" cm="1">
        <f t="array" ref="O2324">_xlfn.IFS(orders[[#This Row],[Customer Gender]] = "M", "Male",orders[[#This Row],[Customer Gender]] = "F", "Female",orders[[#This Row],[Customer Gender]] = "O", "Others",TRUE,"Unknown")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 - orders[[#This Row],[Order Date]]</f>
        <v>1</v>
      </c>
      <c r="N2325">
        <f>WEEKNUM(orders[[#This Row],[Order Date]])</f>
        <v>13</v>
      </c>
      <c r="O2325" t="str" cm="1">
        <f t="array" ref="O2325">_xlfn.IFS(orders[[#This Row],[Customer Gender]] = "M", "Male",orders[[#This Row],[Customer Gender]] = "F", "Female",orders[[#This Row],[Customer Gender]] = "O", "Others",TRUE,"Unknown")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 - orders[[#This Row],[Order Date]]</f>
        <v>4</v>
      </c>
      <c r="N2326">
        <f>WEEKNUM(orders[[#This Row],[Order Date]])</f>
        <v>13</v>
      </c>
      <c r="O2326" t="str" cm="1">
        <f t="array" ref="O2326">_xlfn.IFS(orders[[#This Row],[Customer Gender]] = "M", "Male",orders[[#This Row],[Customer Gender]] = "F", "Female",orders[[#This Row],[Customer Gender]] = "O", "Others",TRUE,"Unknown")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 - orders[[#This Row],[Order Date]]</f>
        <v>0</v>
      </c>
      <c r="N2327">
        <f>WEEKNUM(orders[[#This Row],[Order Date]])</f>
        <v>13</v>
      </c>
      <c r="O2327" t="str" cm="1">
        <f t="array" ref="O2327">_xlfn.IFS(orders[[#This Row],[Customer Gender]] = "M", "Male",orders[[#This Row],[Customer Gender]] = "F", "Female",orders[[#This Row],[Customer Gender]] = "O", "Others",TRUE,"Unknown")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 - orders[[#This Row],[Order Date]]</f>
        <v>2</v>
      </c>
      <c r="N2328">
        <f>WEEKNUM(orders[[#This Row],[Order Date]])</f>
        <v>13</v>
      </c>
      <c r="O2328" t="str" cm="1">
        <f t="array" ref="O2328">_xlfn.IFS(orders[[#This Row],[Customer Gender]] = "M", "Male",orders[[#This Row],[Customer Gender]] = "F", "Female",orders[[#This Row],[Customer Gender]] = "O", "Others",TRUE,"Unknown")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 - orders[[#This Row],[Order Date]]</f>
        <v>1</v>
      </c>
      <c r="N2329">
        <f>WEEKNUM(orders[[#This Row],[Order Date]])</f>
        <v>13</v>
      </c>
      <c r="O2329" t="str" cm="1">
        <f t="array" ref="O2329">_xlfn.IFS(orders[[#This Row],[Customer Gender]] = "M", "Male",orders[[#This Row],[Customer Gender]] = "F", "Female",orders[[#This Row],[Customer Gender]] = "O", "Others",TRUE,"Unknown")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 - orders[[#This Row],[Order Date]]</f>
        <v>3</v>
      </c>
      <c r="N2330">
        <f>WEEKNUM(orders[[#This Row],[Order Date]])</f>
        <v>13</v>
      </c>
      <c r="O2330" t="str" cm="1">
        <f t="array" ref="O2330">_xlfn.IFS(orders[[#This Row],[Customer Gender]] = "M", "Male",orders[[#This Row],[Customer Gender]] = "F", "Female",orders[[#This Row],[Customer Gender]] = "O", "Others",TRUE,"Unknown")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 - orders[[#This Row],[Order Date]]</f>
        <v>1</v>
      </c>
      <c r="N2331">
        <f>WEEKNUM(orders[[#This Row],[Order Date]])</f>
        <v>13</v>
      </c>
      <c r="O2331" t="str" cm="1">
        <f t="array" ref="O2331">_xlfn.IFS(orders[[#This Row],[Customer Gender]] = "M", "Male",orders[[#This Row],[Customer Gender]] = "F", "Female",orders[[#This Row],[Customer Gender]] = "O", "Others",TRUE,"Unknown")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 - orders[[#This Row],[Order Date]]</f>
        <v>2</v>
      </c>
      <c r="N2332">
        <f>WEEKNUM(orders[[#This Row],[Order Date]])</f>
        <v>13</v>
      </c>
      <c r="O2332" t="str" cm="1">
        <f t="array" ref="O2332">_xlfn.IFS(orders[[#This Row],[Customer Gender]] = "M", "Male",orders[[#This Row],[Customer Gender]] = "F", "Female",orders[[#This Row],[Customer Gender]] = "O", "Others",TRUE,"Unknown")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 - orders[[#This Row],[Order Date]]</f>
        <v>2</v>
      </c>
      <c r="N2333">
        <f>WEEKNUM(orders[[#This Row],[Order Date]])</f>
        <v>13</v>
      </c>
      <c r="O2333" t="str" cm="1">
        <f t="array" ref="O2333">_xlfn.IFS(orders[[#This Row],[Customer Gender]] = "M", "Male",orders[[#This Row],[Customer Gender]] = "F", "Female",orders[[#This Row],[Customer Gender]] = "O", "Others",TRUE,"Unknown")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 - orders[[#This Row],[Order Date]]</f>
        <v>2</v>
      </c>
      <c r="N2334">
        <f>WEEKNUM(orders[[#This Row],[Order Date]])</f>
        <v>13</v>
      </c>
      <c r="O2334" t="str" cm="1">
        <f t="array" ref="O2334">_xlfn.IFS(orders[[#This Row],[Customer Gender]] = "M", "Male",orders[[#This Row],[Customer Gender]] = "F", "Female",orders[[#This Row],[Customer Gender]] = "O", "Others",TRUE,"Unknown")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 - orders[[#This Row],[Order Date]]</f>
        <v>2</v>
      </c>
      <c r="N2335">
        <f>WEEKNUM(orders[[#This Row],[Order Date]])</f>
        <v>13</v>
      </c>
      <c r="O2335" t="str" cm="1">
        <f t="array" ref="O2335">_xlfn.IFS(orders[[#This Row],[Customer Gender]] = "M", "Male",orders[[#This Row],[Customer Gender]] = "F", "Female",orders[[#This Row],[Customer Gender]] = "O", "Others",TRUE,"Unknown")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 - orders[[#This Row],[Order Date]]</f>
        <v>2</v>
      </c>
      <c r="N2336">
        <f>WEEKNUM(orders[[#This Row],[Order Date]])</f>
        <v>13</v>
      </c>
      <c r="O2336" t="str" cm="1">
        <f t="array" ref="O2336">_xlfn.IFS(orders[[#This Row],[Customer Gender]] = "M", "Male",orders[[#This Row],[Customer Gender]] = "F", "Female",orders[[#This Row],[Customer Gender]] = "O", "Others",TRUE,"Unknown")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 - orders[[#This Row],[Order Date]]</f>
        <v>2</v>
      </c>
      <c r="N2337">
        <f>WEEKNUM(orders[[#This Row],[Order Date]])</f>
        <v>13</v>
      </c>
      <c r="O2337" t="str" cm="1">
        <f t="array" ref="O2337">_xlfn.IFS(orders[[#This Row],[Customer Gender]] = "M", "Male",orders[[#This Row],[Customer Gender]] = "F", "Female",orders[[#This Row],[Customer Gender]] = "O", "Others",TRUE,"Unknown")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 - orders[[#This Row],[Order Date]]</f>
        <v>1</v>
      </c>
      <c r="N2338">
        <f>WEEKNUM(orders[[#This Row],[Order Date]])</f>
        <v>13</v>
      </c>
      <c r="O2338" t="str" cm="1">
        <f t="array" ref="O2338">_xlfn.IFS(orders[[#This Row],[Customer Gender]] = "M", "Male",orders[[#This Row],[Customer Gender]] = "F", "Female",orders[[#This Row],[Customer Gender]] = "O", "Others",TRUE,"Unknown")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 - orders[[#This Row],[Order Date]]</f>
        <v>0</v>
      </c>
      <c r="N2339">
        <f>WEEKNUM(orders[[#This Row],[Order Date]])</f>
        <v>13</v>
      </c>
      <c r="O2339" t="str" cm="1">
        <f t="array" ref="O2339">_xlfn.IFS(orders[[#This Row],[Customer Gender]] = "M", "Male",orders[[#This Row],[Customer Gender]] = "F", "Female",orders[[#This Row],[Customer Gender]] = "O", "Others",TRUE,"Unknown")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 - orders[[#This Row],[Order Date]]</f>
        <v>4</v>
      </c>
      <c r="N2340">
        <f>WEEKNUM(orders[[#This Row],[Order Date]])</f>
        <v>13</v>
      </c>
      <c r="O2340" t="str" cm="1">
        <f t="array" ref="O2340">_xlfn.IFS(orders[[#This Row],[Customer Gender]] = "M", "Male",orders[[#This Row],[Customer Gender]] = "F", "Female",orders[[#This Row],[Customer Gender]] = "O", "Others",TRUE,"Unknown")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 - orders[[#This Row],[Order Date]]</f>
        <v>1</v>
      </c>
      <c r="N2341">
        <f>WEEKNUM(orders[[#This Row],[Order Date]])</f>
        <v>13</v>
      </c>
      <c r="O2341" t="str" cm="1">
        <f t="array" ref="O2341">_xlfn.IFS(orders[[#This Row],[Customer Gender]] = "M", "Male",orders[[#This Row],[Customer Gender]] = "F", "Female",orders[[#This Row],[Customer Gender]] = "O", "Others",TRUE,"Unknown")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 - orders[[#This Row],[Order Date]]</f>
        <v>2</v>
      </c>
      <c r="N2342">
        <f>WEEKNUM(orders[[#This Row],[Order Date]])</f>
        <v>13</v>
      </c>
      <c r="O2342" t="str" cm="1">
        <f t="array" ref="O2342">_xlfn.IFS(orders[[#This Row],[Customer Gender]] = "M", "Male",orders[[#This Row],[Customer Gender]] = "F", "Female",orders[[#This Row],[Customer Gender]] = "O", "Others",TRUE,"Unknown")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 - orders[[#This Row],[Order Date]]</f>
        <v>2</v>
      </c>
      <c r="N2343">
        <f>WEEKNUM(orders[[#This Row],[Order Date]])</f>
        <v>13</v>
      </c>
      <c r="O2343" t="str" cm="1">
        <f t="array" ref="O2343">_xlfn.IFS(orders[[#This Row],[Customer Gender]] = "M", "Male",orders[[#This Row],[Customer Gender]] = "F", "Female",orders[[#This Row],[Customer Gender]] = "O", "Others",TRUE,"Unknown")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 - orders[[#This Row],[Order Date]]</f>
        <v>3</v>
      </c>
      <c r="N2344">
        <f>WEEKNUM(orders[[#This Row],[Order Date]])</f>
        <v>13</v>
      </c>
      <c r="O2344" t="str" cm="1">
        <f t="array" ref="O2344">_xlfn.IFS(orders[[#This Row],[Customer Gender]] = "M", "Male",orders[[#This Row],[Customer Gender]] = "F", "Female",orders[[#This Row],[Customer Gender]] = "O", "Others",TRUE,"Unknown")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 - orders[[#This Row],[Order Date]]</f>
        <v>2</v>
      </c>
      <c r="N2345">
        <f>WEEKNUM(orders[[#This Row],[Order Date]])</f>
        <v>13</v>
      </c>
      <c r="O2345" t="str" cm="1">
        <f t="array" ref="O2345">_xlfn.IFS(orders[[#This Row],[Customer Gender]] = "M", "Male",orders[[#This Row],[Customer Gender]] = "F", "Female",orders[[#This Row],[Customer Gender]] = "O", "Others",TRUE,"Unknown")</f>
        <v>Others</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 - orders[[#This Row],[Order Date]]</f>
        <v>3</v>
      </c>
      <c r="N2346">
        <f>WEEKNUM(orders[[#This Row],[Order Date]])</f>
        <v>13</v>
      </c>
      <c r="O2346" t="str" cm="1">
        <f t="array" ref="O2346">_xlfn.IFS(orders[[#This Row],[Customer Gender]] = "M", "Male",orders[[#This Row],[Customer Gender]] = "F", "Female",orders[[#This Row],[Customer Gender]] = "O", "Others",TRUE,"Unknown")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 - orders[[#This Row],[Order Date]]</f>
        <v>3</v>
      </c>
      <c r="N2347">
        <f>WEEKNUM(orders[[#This Row],[Order Date]])</f>
        <v>13</v>
      </c>
      <c r="O2347" t="str" cm="1">
        <f t="array" ref="O2347">_xlfn.IFS(orders[[#This Row],[Customer Gender]] = "M", "Male",orders[[#This Row],[Customer Gender]] = "F", "Female",orders[[#This Row],[Customer Gender]] = "O", "Others",TRUE,"Unknown")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 - orders[[#This Row],[Order Date]]</f>
        <v>1</v>
      </c>
      <c r="N2348">
        <f>WEEKNUM(orders[[#This Row],[Order Date]])</f>
        <v>13</v>
      </c>
      <c r="O2348" t="str" cm="1">
        <f t="array" ref="O2348">_xlfn.IFS(orders[[#This Row],[Customer Gender]] = "M", "Male",orders[[#This Row],[Customer Gender]] = "F", "Female",orders[[#This Row],[Customer Gender]] = "O", "Others",TRUE,"Unknown")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 - orders[[#This Row],[Order Date]]</f>
        <v>1</v>
      </c>
      <c r="N2349">
        <f>WEEKNUM(orders[[#This Row],[Order Date]])</f>
        <v>13</v>
      </c>
      <c r="O2349" t="str" cm="1">
        <f t="array" ref="O2349">_xlfn.IFS(orders[[#This Row],[Customer Gender]] = "M", "Male",orders[[#This Row],[Customer Gender]] = "F", "Female",orders[[#This Row],[Customer Gender]] = "O", "Others",TRUE,"Unknown")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 - orders[[#This Row],[Order Date]]</f>
        <v>4</v>
      </c>
      <c r="N2350">
        <f>WEEKNUM(orders[[#This Row],[Order Date]])</f>
        <v>13</v>
      </c>
      <c r="O2350" t="str" cm="1">
        <f t="array" ref="O2350">_xlfn.IFS(orders[[#This Row],[Customer Gender]] = "M", "Male",orders[[#This Row],[Customer Gender]] = "F", "Female",orders[[#This Row],[Customer Gender]] = "O", "Others",TRUE,"Unknown")</f>
        <v>Others</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 - orders[[#This Row],[Order Date]]</f>
        <v>3</v>
      </c>
      <c r="N2351">
        <f>WEEKNUM(orders[[#This Row],[Order Date]])</f>
        <v>13</v>
      </c>
      <c r="O2351" t="str" cm="1">
        <f t="array" ref="O2351">_xlfn.IFS(orders[[#This Row],[Customer Gender]] = "M", "Male",orders[[#This Row],[Customer Gender]] = "F", "Female",orders[[#This Row],[Customer Gender]] = "O", "Others",TRUE,"Unknown")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 - orders[[#This Row],[Order Date]]</f>
        <v>2</v>
      </c>
      <c r="N2352">
        <f>WEEKNUM(orders[[#This Row],[Order Date]])</f>
        <v>13</v>
      </c>
      <c r="O2352" t="str" cm="1">
        <f t="array" ref="O2352">_xlfn.IFS(orders[[#This Row],[Customer Gender]] = "M", "Male",orders[[#This Row],[Customer Gender]] = "F", "Female",orders[[#This Row],[Customer Gender]] = "O", "Others",TRUE,"Unknown")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 - orders[[#This Row],[Order Date]]</f>
        <v>1</v>
      </c>
      <c r="N2353">
        <f>WEEKNUM(orders[[#This Row],[Order Date]])</f>
        <v>13</v>
      </c>
      <c r="O2353" t="str" cm="1">
        <f t="array" ref="O2353">_xlfn.IFS(orders[[#This Row],[Customer Gender]] = "M", "Male",orders[[#This Row],[Customer Gender]] = "F", "Female",orders[[#This Row],[Customer Gender]] = "O", "Others",TRUE,"Unknown")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 - orders[[#This Row],[Order Date]]</f>
        <v>4</v>
      </c>
      <c r="N2354">
        <f>WEEKNUM(orders[[#This Row],[Order Date]])</f>
        <v>13</v>
      </c>
      <c r="O2354" t="str" cm="1">
        <f t="array" ref="O2354">_xlfn.IFS(orders[[#This Row],[Customer Gender]] = "M", "Male",orders[[#This Row],[Customer Gender]] = "F", "Female",orders[[#This Row],[Customer Gender]] = "O", "Others",TRUE,"Unknown")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 - orders[[#This Row],[Order Date]]</f>
        <v>2</v>
      </c>
      <c r="N2355">
        <f>WEEKNUM(orders[[#This Row],[Order Date]])</f>
        <v>13</v>
      </c>
      <c r="O2355" t="str" cm="1">
        <f t="array" ref="O2355">_xlfn.IFS(orders[[#This Row],[Customer Gender]] = "M", "Male",orders[[#This Row],[Customer Gender]] = "F", "Female",orders[[#This Row],[Customer Gender]] = "O", "Others",TRUE,"Unknown")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 - orders[[#This Row],[Order Date]]</f>
        <v>2</v>
      </c>
      <c r="N2356">
        <f>WEEKNUM(orders[[#This Row],[Order Date]])</f>
        <v>13</v>
      </c>
      <c r="O2356" t="str" cm="1">
        <f t="array" ref="O2356">_xlfn.IFS(orders[[#This Row],[Customer Gender]] = "M", "Male",orders[[#This Row],[Customer Gender]] = "F", "Female",orders[[#This Row],[Customer Gender]] = "O", "Others",TRUE,"Unknown")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 - orders[[#This Row],[Order Date]]</f>
        <v>3</v>
      </c>
      <c r="N2357">
        <f>WEEKNUM(orders[[#This Row],[Order Date]])</f>
        <v>13</v>
      </c>
      <c r="O2357" t="str" cm="1">
        <f t="array" ref="O2357">_xlfn.IFS(orders[[#This Row],[Customer Gender]] = "M", "Male",orders[[#This Row],[Customer Gender]] = "F", "Female",orders[[#This Row],[Customer Gender]] = "O", "Others",TRUE,"Unknown")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 - orders[[#This Row],[Order Date]]</f>
        <v>1</v>
      </c>
      <c r="N2358">
        <f>WEEKNUM(orders[[#This Row],[Order Date]])</f>
        <v>13</v>
      </c>
      <c r="O2358" t="str" cm="1">
        <f t="array" ref="O2358">_xlfn.IFS(orders[[#This Row],[Customer Gender]] = "M", "Male",orders[[#This Row],[Customer Gender]] = "F", "Female",orders[[#This Row],[Customer Gender]] = "O", "Others",TRUE,"Unknown")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 - orders[[#This Row],[Order Date]]</f>
        <v>1</v>
      </c>
      <c r="N2359">
        <f>WEEKNUM(orders[[#This Row],[Order Date]])</f>
        <v>13</v>
      </c>
      <c r="O2359" t="str" cm="1">
        <f t="array" ref="O2359">_xlfn.IFS(orders[[#This Row],[Customer Gender]] = "M", "Male",orders[[#This Row],[Customer Gender]] = "F", "Female",orders[[#This Row],[Customer Gender]] = "O", "Others",TRUE,"Unknown")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 - orders[[#This Row],[Order Date]]</f>
        <v>1</v>
      </c>
      <c r="N2360">
        <f>WEEKNUM(orders[[#This Row],[Order Date]])</f>
        <v>13</v>
      </c>
      <c r="O2360" t="str" cm="1">
        <f t="array" ref="O2360">_xlfn.IFS(orders[[#This Row],[Customer Gender]] = "M", "Male",orders[[#This Row],[Customer Gender]] = "F", "Female",orders[[#This Row],[Customer Gender]] = "O", "Others",TRUE,"Unknown")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 - orders[[#This Row],[Order Date]]</f>
        <v>3</v>
      </c>
      <c r="N2361">
        <f>WEEKNUM(orders[[#This Row],[Order Date]])</f>
        <v>13</v>
      </c>
      <c r="O2361" t="str" cm="1">
        <f t="array" ref="O2361">_xlfn.IFS(orders[[#This Row],[Customer Gender]] = "M", "Male",orders[[#This Row],[Customer Gender]] = "F", "Female",orders[[#This Row],[Customer Gender]] = "O", "Others",TRUE,"Unknown")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 - orders[[#This Row],[Order Date]]</f>
        <v>1</v>
      </c>
      <c r="N2362">
        <f>WEEKNUM(orders[[#This Row],[Order Date]])</f>
        <v>13</v>
      </c>
      <c r="O2362" t="str" cm="1">
        <f t="array" ref="O2362">_xlfn.IFS(orders[[#This Row],[Customer Gender]] = "M", "Male",orders[[#This Row],[Customer Gender]] = "F", "Female",orders[[#This Row],[Customer Gender]] = "O", "Others",TRUE,"Unknown")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 - orders[[#This Row],[Order Date]]</f>
        <v>2</v>
      </c>
      <c r="N2363">
        <f>WEEKNUM(orders[[#This Row],[Order Date]])</f>
        <v>13</v>
      </c>
      <c r="O2363" t="str" cm="1">
        <f t="array" ref="O2363">_xlfn.IFS(orders[[#This Row],[Customer Gender]] = "M", "Male",orders[[#This Row],[Customer Gender]] = "F", "Female",orders[[#This Row],[Customer Gender]] = "O", "Others",TRUE,"Unknown")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 - orders[[#This Row],[Order Date]]</f>
        <v>0</v>
      </c>
      <c r="N2364">
        <f>WEEKNUM(orders[[#This Row],[Order Date]])</f>
        <v>13</v>
      </c>
      <c r="O2364" t="str" cm="1">
        <f t="array" ref="O2364">_xlfn.IFS(orders[[#This Row],[Customer Gender]] = "M", "Male",orders[[#This Row],[Customer Gender]] = "F", "Female",orders[[#This Row],[Customer Gender]] = "O", "Others",TRUE,"Unknown")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 - orders[[#This Row],[Order Date]]</f>
        <v>3</v>
      </c>
      <c r="N2365">
        <f>WEEKNUM(orders[[#This Row],[Order Date]])</f>
        <v>13</v>
      </c>
      <c r="O2365" t="str" cm="1">
        <f t="array" ref="O2365">_xlfn.IFS(orders[[#This Row],[Customer Gender]] = "M", "Male",orders[[#This Row],[Customer Gender]] = "F", "Female",orders[[#This Row],[Customer Gender]] = "O", "Others",TRUE,"Unknown")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 - orders[[#This Row],[Order Date]]</f>
        <v>1</v>
      </c>
      <c r="N2366">
        <f>WEEKNUM(orders[[#This Row],[Order Date]])</f>
        <v>13</v>
      </c>
      <c r="O2366" t="str" cm="1">
        <f t="array" ref="O2366">_xlfn.IFS(orders[[#This Row],[Customer Gender]] = "M", "Male",orders[[#This Row],[Customer Gender]] = "F", "Female",orders[[#This Row],[Customer Gender]] = "O", "Others",TRUE,"Unknown")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 - orders[[#This Row],[Order Date]]</f>
        <v>13</v>
      </c>
      <c r="N2367">
        <f>WEEKNUM(orders[[#This Row],[Order Date]])</f>
        <v>13</v>
      </c>
      <c r="O2367" t="str" cm="1">
        <f t="array" ref="O2367">_xlfn.IFS(orders[[#This Row],[Customer Gender]] = "M", "Male",orders[[#This Row],[Customer Gender]] = "F", "Female",orders[[#This Row],[Customer Gender]] = "O", "Others",TRUE,"Unknown")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 - orders[[#This Row],[Order Date]]</f>
        <v>5</v>
      </c>
      <c r="N2368">
        <f>WEEKNUM(orders[[#This Row],[Order Date]])</f>
        <v>13</v>
      </c>
      <c r="O2368" t="str" cm="1">
        <f t="array" ref="O2368">_xlfn.IFS(orders[[#This Row],[Customer Gender]] = "M", "Male",orders[[#This Row],[Customer Gender]] = "F", "Female",orders[[#This Row],[Customer Gender]] = "O", "Others",TRUE,"Unknown")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 - orders[[#This Row],[Order Date]]</f>
        <v>7</v>
      </c>
      <c r="N2369">
        <f>WEEKNUM(orders[[#This Row],[Order Date]])</f>
        <v>13</v>
      </c>
      <c r="O2369" t="str" cm="1">
        <f t="array" ref="O2369">_xlfn.IFS(orders[[#This Row],[Customer Gender]] = "M", "Male",orders[[#This Row],[Customer Gender]] = "F", "Female",orders[[#This Row],[Customer Gender]] = "O", "Others",TRUE,"Unknown")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 - orders[[#This Row],[Order Date]]</f>
        <v>1</v>
      </c>
      <c r="N2370">
        <f>WEEKNUM(orders[[#This Row],[Order Date]])</f>
        <v>13</v>
      </c>
      <c r="O2370" t="str" cm="1">
        <f t="array" ref="O2370">_xlfn.IFS(orders[[#This Row],[Customer Gender]] = "M", "Male",orders[[#This Row],[Customer Gender]] = "F", "Female",orders[[#This Row],[Customer Gender]] = "O", "Others",TRUE,"Unknown")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 - orders[[#This Row],[Order Date]]</f>
        <v>1</v>
      </c>
      <c r="N2371">
        <f>WEEKNUM(orders[[#This Row],[Order Date]])</f>
        <v>13</v>
      </c>
      <c r="O2371" t="str" cm="1">
        <f t="array" ref="O2371">_xlfn.IFS(orders[[#This Row],[Customer Gender]] = "M", "Male",orders[[#This Row],[Customer Gender]] = "F", "Female",orders[[#This Row],[Customer Gender]] = "O", "Others",TRUE,"Unknown")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 - orders[[#This Row],[Order Date]]</f>
        <v>1</v>
      </c>
      <c r="N2372">
        <f>WEEKNUM(orders[[#This Row],[Order Date]])</f>
        <v>13</v>
      </c>
      <c r="O2372" t="str" cm="1">
        <f t="array" ref="O2372">_xlfn.IFS(orders[[#This Row],[Customer Gender]] = "M", "Male",orders[[#This Row],[Customer Gender]] = "F", "Female",orders[[#This Row],[Customer Gender]] = "O", "Others",TRUE,"Unknown")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 - orders[[#This Row],[Order Date]]</f>
        <v>4</v>
      </c>
      <c r="N2373">
        <f>WEEKNUM(orders[[#This Row],[Order Date]])</f>
        <v>13</v>
      </c>
      <c r="O2373" t="str" cm="1">
        <f t="array" ref="O2373">_xlfn.IFS(orders[[#This Row],[Customer Gender]] = "M", "Male",orders[[#This Row],[Customer Gender]] = "F", "Female",orders[[#This Row],[Customer Gender]] = "O", "Others",TRUE,"Unknown")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 - orders[[#This Row],[Order Date]]</f>
        <v>3</v>
      </c>
      <c r="N2374">
        <f>WEEKNUM(orders[[#This Row],[Order Date]])</f>
        <v>13</v>
      </c>
      <c r="O2374" t="str" cm="1">
        <f t="array" ref="O2374">_xlfn.IFS(orders[[#This Row],[Customer Gender]] = "M", "Male",orders[[#This Row],[Customer Gender]] = "F", "Female",orders[[#This Row],[Customer Gender]] = "O", "Others",TRUE,"Unknown")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 - orders[[#This Row],[Order Date]]</f>
        <v>2</v>
      </c>
      <c r="N2375">
        <f>WEEKNUM(orders[[#This Row],[Order Date]])</f>
        <v>13</v>
      </c>
      <c r="O2375" t="str" cm="1">
        <f t="array" ref="O2375">_xlfn.IFS(orders[[#This Row],[Customer Gender]] = "M", "Male",orders[[#This Row],[Customer Gender]] = "F", "Female",orders[[#This Row],[Customer Gender]] = "O", "Others",TRUE,"Unknown")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 - orders[[#This Row],[Order Date]]</f>
        <v>1</v>
      </c>
      <c r="N2376">
        <f>WEEKNUM(orders[[#This Row],[Order Date]])</f>
        <v>13</v>
      </c>
      <c r="O2376" t="str" cm="1">
        <f t="array" ref="O2376">_xlfn.IFS(orders[[#This Row],[Customer Gender]] = "M", "Male",orders[[#This Row],[Customer Gender]] = "F", "Female",orders[[#This Row],[Customer Gender]] = "O", "Others",TRUE,"Unknown")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 - orders[[#This Row],[Order Date]]</f>
        <v>2</v>
      </c>
      <c r="N2377">
        <f>WEEKNUM(orders[[#This Row],[Order Date]])</f>
        <v>13</v>
      </c>
      <c r="O2377" t="str" cm="1">
        <f t="array" ref="O2377">_xlfn.IFS(orders[[#This Row],[Customer Gender]] = "M", "Male",orders[[#This Row],[Customer Gender]] = "F", "Female",orders[[#This Row],[Customer Gender]] = "O", "Others",TRUE,"Unknown")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 - orders[[#This Row],[Order Date]]</f>
        <v>1</v>
      </c>
      <c r="N2378">
        <f>WEEKNUM(orders[[#This Row],[Order Date]])</f>
        <v>13</v>
      </c>
      <c r="O2378" t="str" cm="1">
        <f t="array" ref="O2378">_xlfn.IFS(orders[[#This Row],[Customer Gender]] = "M", "Male",orders[[#This Row],[Customer Gender]] = "F", "Female",orders[[#This Row],[Customer Gender]] = "O", "Others",TRUE,"Unknown")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 - orders[[#This Row],[Order Date]]</f>
        <v>2</v>
      </c>
      <c r="N2379">
        <f>WEEKNUM(orders[[#This Row],[Order Date]])</f>
        <v>13</v>
      </c>
      <c r="O2379" t="str" cm="1">
        <f t="array" ref="O2379">_xlfn.IFS(orders[[#This Row],[Customer Gender]] = "M", "Male",orders[[#This Row],[Customer Gender]] = "F", "Female",orders[[#This Row],[Customer Gender]] = "O", "Others",TRUE,"Unknown")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 - orders[[#This Row],[Order Date]]</f>
        <v>1</v>
      </c>
      <c r="N2380">
        <f>WEEKNUM(orders[[#This Row],[Order Date]])</f>
        <v>13</v>
      </c>
      <c r="O2380" t="str" cm="1">
        <f t="array" ref="O2380">_xlfn.IFS(orders[[#This Row],[Customer Gender]] = "M", "Male",orders[[#This Row],[Customer Gender]] = "F", "Female",orders[[#This Row],[Customer Gender]] = "O", "Others",TRUE,"Unknown")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 - orders[[#This Row],[Order Date]]</f>
        <v>2</v>
      </c>
      <c r="N2381">
        <f>WEEKNUM(orders[[#This Row],[Order Date]])</f>
        <v>13</v>
      </c>
      <c r="O2381" t="str" cm="1">
        <f t="array" ref="O2381">_xlfn.IFS(orders[[#This Row],[Customer Gender]] = "M", "Male",orders[[#This Row],[Customer Gender]] = "F", "Female",orders[[#This Row],[Customer Gender]] = "O", "Others",TRUE,"Unknown")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 - orders[[#This Row],[Order Date]]</f>
        <v>3</v>
      </c>
      <c r="N2382">
        <f>WEEKNUM(orders[[#This Row],[Order Date]])</f>
        <v>13</v>
      </c>
      <c r="O2382" t="str" cm="1">
        <f t="array" ref="O2382">_xlfn.IFS(orders[[#This Row],[Customer Gender]] = "M", "Male",orders[[#This Row],[Customer Gender]] = "F", "Female",orders[[#This Row],[Customer Gender]] = "O", "Others",TRUE,"Unknown")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 - orders[[#This Row],[Order Date]]</f>
        <v>2</v>
      </c>
      <c r="N2383">
        <f>WEEKNUM(orders[[#This Row],[Order Date]])</f>
        <v>13</v>
      </c>
      <c r="O2383" t="str" cm="1">
        <f t="array" ref="O2383">_xlfn.IFS(orders[[#This Row],[Customer Gender]] = "M", "Male",orders[[#This Row],[Customer Gender]] = "F", "Female",orders[[#This Row],[Customer Gender]] = "O", "Others",TRUE,"Unknown")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 - orders[[#This Row],[Order Date]]</f>
        <v>1</v>
      </c>
      <c r="N2384">
        <f>WEEKNUM(orders[[#This Row],[Order Date]])</f>
        <v>13</v>
      </c>
      <c r="O2384" t="str" cm="1">
        <f t="array" ref="O2384">_xlfn.IFS(orders[[#This Row],[Customer Gender]] = "M", "Male",orders[[#This Row],[Customer Gender]] = "F", "Female",orders[[#This Row],[Customer Gender]] = "O", "Others",TRUE,"Unknown")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 - orders[[#This Row],[Order Date]]</f>
        <v>1</v>
      </c>
      <c r="N2385">
        <f>WEEKNUM(orders[[#This Row],[Order Date]])</f>
        <v>13</v>
      </c>
      <c r="O2385" t="str" cm="1">
        <f t="array" ref="O2385">_xlfn.IFS(orders[[#This Row],[Customer Gender]] = "M", "Male",orders[[#This Row],[Customer Gender]] = "F", "Female",orders[[#This Row],[Customer Gender]] = "O", "Others",TRUE,"Unknown")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 - orders[[#This Row],[Order Date]]</f>
        <v>1</v>
      </c>
      <c r="N2386">
        <f>WEEKNUM(orders[[#This Row],[Order Date]])</f>
        <v>13</v>
      </c>
      <c r="O2386" t="str" cm="1">
        <f t="array" ref="O2386">_xlfn.IFS(orders[[#This Row],[Customer Gender]] = "M", "Male",orders[[#This Row],[Customer Gender]] = "F", "Female",orders[[#This Row],[Customer Gender]] = "O", "Others",TRUE,"Unknown")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 - orders[[#This Row],[Order Date]]</f>
        <v>4</v>
      </c>
      <c r="N2387">
        <f>WEEKNUM(orders[[#This Row],[Order Date]])</f>
        <v>13</v>
      </c>
      <c r="O2387" t="str" cm="1">
        <f t="array" ref="O2387">_xlfn.IFS(orders[[#This Row],[Customer Gender]] = "M", "Male",orders[[#This Row],[Customer Gender]] = "F", "Female",orders[[#This Row],[Customer Gender]] = "O", "Others",TRUE,"Unknown")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 - orders[[#This Row],[Order Date]]</f>
        <v>1</v>
      </c>
      <c r="N2388">
        <f>WEEKNUM(orders[[#This Row],[Order Date]])</f>
        <v>13</v>
      </c>
      <c r="O2388" t="str" cm="1">
        <f t="array" ref="O2388">_xlfn.IFS(orders[[#This Row],[Customer Gender]] = "M", "Male",orders[[#This Row],[Customer Gender]] = "F", "Female",orders[[#This Row],[Customer Gender]] = "O", "Others",TRUE,"Unknown")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 - orders[[#This Row],[Order Date]]</f>
        <v>11</v>
      </c>
      <c r="N2389">
        <f>WEEKNUM(orders[[#This Row],[Order Date]])</f>
        <v>13</v>
      </c>
      <c r="O2389" t="str" cm="1">
        <f t="array" ref="O2389">_xlfn.IFS(orders[[#This Row],[Customer Gender]] = "M", "Male",orders[[#This Row],[Customer Gender]] = "F", "Female",orders[[#This Row],[Customer Gender]] = "O", "Others",TRUE,"Unknown")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 - orders[[#This Row],[Order Date]]</f>
        <v>4</v>
      </c>
      <c r="N2390">
        <f>WEEKNUM(orders[[#This Row],[Order Date]])</f>
        <v>13</v>
      </c>
      <c r="O2390" t="str" cm="1">
        <f t="array" ref="O2390">_xlfn.IFS(orders[[#This Row],[Customer Gender]] = "M", "Male",orders[[#This Row],[Customer Gender]] = "F", "Female",orders[[#This Row],[Customer Gender]] = "O", "Others",TRUE,"Unknown")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 - orders[[#This Row],[Order Date]]</f>
        <v>1</v>
      </c>
      <c r="N2391">
        <f>WEEKNUM(orders[[#This Row],[Order Date]])</f>
        <v>13</v>
      </c>
      <c r="O2391" t="str" cm="1">
        <f t="array" ref="O2391">_xlfn.IFS(orders[[#This Row],[Customer Gender]] = "M", "Male",orders[[#This Row],[Customer Gender]] = "F", "Female",orders[[#This Row],[Customer Gender]] = "O", "Others",TRUE,"Unknown")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 - orders[[#This Row],[Order Date]]</f>
        <v>2</v>
      </c>
      <c r="N2392">
        <f>WEEKNUM(orders[[#This Row],[Order Date]])</f>
        <v>13</v>
      </c>
      <c r="O2392" t="str" cm="1">
        <f t="array" ref="O2392">_xlfn.IFS(orders[[#This Row],[Customer Gender]] = "M", "Male",orders[[#This Row],[Customer Gender]] = "F", "Female",orders[[#This Row],[Customer Gender]] = "O", "Others",TRUE,"Unknown")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 - orders[[#This Row],[Order Date]]</f>
        <v>3</v>
      </c>
      <c r="N2393">
        <f>WEEKNUM(orders[[#This Row],[Order Date]])</f>
        <v>13</v>
      </c>
      <c r="O2393" t="str" cm="1">
        <f t="array" ref="O2393">_xlfn.IFS(orders[[#This Row],[Customer Gender]] = "M", "Male",orders[[#This Row],[Customer Gender]] = "F", "Female",orders[[#This Row],[Customer Gender]] = "O", "Others",TRUE,"Unknown")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 - orders[[#This Row],[Order Date]]</f>
        <v>2</v>
      </c>
      <c r="N2394">
        <f>WEEKNUM(orders[[#This Row],[Order Date]])</f>
        <v>13</v>
      </c>
      <c r="O2394" t="str" cm="1">
        <f t="array" ref="O2394">_xlfn.IFS(orders[[#This Row],[Customer Gender]] = "M", "Male",orders[[#This Row],[Customer Gender]] = "F", "Female",orders[[#This Row],[Customer Gender]] = "O", "Others",TRUE,"Unknown")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 - orders[[#This Row],[Order Date]]</f>
        <v>1</v>
      </c>
      <c r="N2395">
        <f>WEEKNUM(orders[[#This Row],[Order Date]])</f>
        <v>13</v>
      </c>
      <c r="O2395" t="str" cm="1">
        <f t="array" ref="O2395">_xlfn.IFS(orders[[#This Row],[Customer Gender]] = "M", "Male",orders[[#This Row],[Customer Gender]] = "F", "Female",orders[[#This Row],[Customer Gender]] = "O", "Others",TRUE,"Unknown")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 - orders[[#This Row],[Order Date]]</f>
        <v>1</v>
      </c>
      <c r="N2396">
        <f>WEEKNUM(orders[[#This Row],[Order Date]])</f>
        <v>13</v>
      </c>
      <c r="O2396" t="str" cm="1">
        <f t="array" ref="O2396">_xlfn.IFS(orders[[#This Row],[Customer Gender]] = "M", "Male",orders[[#This Row],[Customer Gender]] = "F", "Female",orders[[#This Row],[Customer Gender]] = "O", "Others",TRUE,"Unknown")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 - orders[[#This Row],[Order Date]]</f>
        <v>1</v>
      </c>
      <c r="N2397">
        <f>WEEKNUM(orders[[#This Row],[Order Date]])</f>
        <v>13</v>
      </c>
      <c r="O2397" t="str" cm="1">
        <f t="array" ref="O2397">_xlfn.IFS(orders[[#This Row],[Customer Gender]] = "M", "Male",orders[[#This Row],[Customer Gender]] = "F", "Female",orders[[#This Row],[Customer Gender]] = "O", "Others",TRUE,"Unknown")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 - orders[[#This Row],[Order Date]]</f>
        <v>1</v>
      </c>
      <c r="N2398">
        <f>WEEKNUM(orders[[#This Row],[Order Date]])</f>
        <v>13</v>
      </c>
      <c r="O2398" t="str" cm="1">
        <f t="array" ref="O2398">_xlfn.IFS(orders[[#This Row],[Customer Gender]] = "M", "Male",orders[[#This Row],[Customer Gender]] = "F", "Female",orders[[#This Row],[Customer Gender]] = "O", "Others",TRUE,"Unknown")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 - orders[[#This Row],[Order Date]]</f>
        <v>1</v>
      </c>
      <c r="N2399">
        <f>WEEKNUM(orders[[#This Row],[Order Date]])</f>
        <v>13</v>
      </c>
      <c r="O2399" t="str" cm="1">
        <f t="array" ref="O2399">_xlfn.IFS(orders[[#This Row],[Customer Gender]] = "M", "Male",orders[[#This Row],[Customer Gender]] = "F", "Female",orders[[#This Row],[Customer Gender]] = "O", "Others",TRUE,"Unknown")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 - orders[[#This Row],[Order Date]]</f>
        <v>2</v>
      </c>
      <c r="N2400">
        <f>WEEKNUM(orders[[#This Row],[Order Date]])</f>
        <v>13</v>
      </c>
      <c r="O2400" t="str" cm="1">
        <f t="array" ref="O2400">_xlfn.IFS(orders[[#This Row],[Customer Gender]] = "M", "Male",orders[[#This Row],[Customer Gender]] = "F", "Female",orders[[#This Row],[Customer Gender]] = "O", "Others",TRUE,"Unknown")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 - orders[[#This Row],[Order Date]]</f>
        <v>2</v>
      </c>
      <c r="N2401">
        <f>WEEKNUM(orders[[#This Row],[Order Date]])</f>
        <v>13</v>
      </c>
      <c r="O2401" t="str" cm="1">
        <f t="array" ref="O2401">_xlfn.IFS(orders[[#This Row],[Customer Gender]] = "M", "Male",orders[[#This Row],[Customer Gender]] = "F", "Female",orders[[#This Row],[Customer Gender]] = "O", "Others",TRUE,"Unknown")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5" workbookViewId="0">
      <selection activeCell="B24" sqref="B24"/>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 Table 1</vt:lpstr>
      <vt:lpstr>DashBoard</vt:lpstr>
      <vt:lpstr>pivot Table 2</vt:lpstr>
      <vt:lpstr>Pivot Table 3</vt:lpstr>
      <vt:lpstr>Sheet3</vt:lpstr>
      <vt:lpstr>Sheet1</vt:lpstr>
      <vt:lpstr>Sheet2</vt:lpstr>
      <vt:lpstr>Sheet4</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Tuan Jamamim</cp:lastModifiedBy>
  <dcterms:created xsi:type="dcterms:W3CDTF">2025-06-13T02:42:26Z</dcterms:created>
  <dcterms:modified xsi:type="dcterms:W3CDTF">2026-05-15T07:01:37Z</dcterms:modified>
</cp:coreProperties>
</file>