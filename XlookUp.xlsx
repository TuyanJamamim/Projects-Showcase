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an Jamamim\Downloads\"/>
    </mc:Choice>
  </mc:AlternateContent>
  <xr:revisionPtr revIDLastSave="0" documentId="13_ncr:1_{A67300B9-1B46-418B-9CA7-AE822CFB82FA}" xr6:coauthVersionLast="47" xr6:coauthVersionMax="47" xr10:uidLastSave="{00000000-0000-0000-0000-000000000000}"/>
  <bookViews>
    <workbookView xWindow="-110" yWindow="-110" windowWidth="19420" windowHeight="10300" xr2:uid="{66B20C8A-1243-48A3-9210-3A3EEE825A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1" l="1"/>
  <c r="H26" i="1"/>
  <c r="J20" i="1"/>
  <c r="J21" i="1"/>
  <c r="J22" i="1"/>
  <c r="J23" i="1"/>
  <c r="J24" i="1"/>
  <c r="J25" i="1"/>
  <c r="I20" i="1"/>
  <c r="I21" i="1"/>
  <c r="I22" i="1"/>
  <c r="I23" i="1"/>
  <c r="I24" i="1"/>
  <c r="I25" i="1"/>
  <c r="H20" i="1"/>
  <c r="H21" i="1"/>
  <c r="H22" i="1"/>
  <c r="H23" i="1"/>
  <c r="H24" i="1"/>
  <c r="H25" i="1"/>
  <c r="J19" i="1"/>
  <c r="I19" i="1"/>
  <c r="H19" i="1"/>
  <c r="J14" i="1"/>
  <c r="I14" i="1"/>
  <c r="H14" i="1"/>
  <c r="J9" i="1"/>
  <c r="J10" i="1"/>
  <c r="J11" i="1"/>
  <c r="J12" i="1"/>
  <c r="J13" i="1"/>
  <c r="J8" i="1"/>
  <c r="I8" i="1"/>
  <c r="I9" i="1"/>
  <c r="I10" i="1"/>
  <c r="I11" i="1"/>
  <c r="I12" i="1"/>
  <c r="I13" i="1"/>
  <c r="H9" i="1"/>
  <c r="H10" i="1"/>
  <c r="H11" i="1"/>
  <c r="H12" i="1"/>
  <c r="H13" i="1"/>
  <c r="H8" i="1"/>
</calcChain>
</file>

<file path=xl/sharedStrings.xml><?xml version="1.0" encoding="utf-8"?>
<sst xmlns="http://schemas.openxmlformats.org/spreadsheetml/2006/main" count="74" uniqueCount="44">
  <si>
    <t>Name</t>
  </si>
  <si>
    <t>Hire Date</t>
  </si>
  <si>
    <t>Employee Number</t>
  </si>
  <si>
    <t>Department</t>
  </si>
  <si>
    <t>Salary</t>
  </si>
  <si>
    <t>Acree, Joane</t>
  </si>
  <si>
    <t>Management</t>
  </si>
  <si>
    <t>Adams, Cody</t>
  </si>
  <si>
    <t>Sales</t>
  </si>
  <si>
    <t>Ballard, Linda</t>
  </si>
  <si>
    <t>Banks, Marlene</t>
  </si>
  <si>
    <t>Fulfillment</t>
  </si>
  <si>
    <t>Barrett, Sherri</t>
  </si>
  <si>
    <t>Belser, Kendal</t>
  </si>
  <si>
    <t>Benedict, Charlena</t>
  </si>
  <si>
    <t>Communications</t>
  </si>
  <si>
    <t>Blair, Terry</t>
  </si>
  <si>
    <t>Customer Service</t>
  </si>
  <si>
    <t>Bowe, Bob</t>
  </si>
  <si>
    <t>Boyd, Carroll</t>
  </si>
  <si>
    <t>Bridges, Benny</t>
  </si>
  <si>
    <t>Burke, Randal</t>
  </si>
  <si>
    <t>Burton, Stacey</t>
  </si>
  <si>
    <t>Byrd, Gwen</t>
  </si>
  <si>
    <t>Cain, Flora</t>
  </si>
  <si>
    <t>Accounting</t>
  </si>
  <si>
    <t>Casey, Reginald</t>
  </si>
  <si>
    <t>Chapman, Jim</t>
  </si>
  <si>
    <t>Christensen, Pat</t>
  </si>
  <si>
    <t>Clayton, Domingo</t>
  </si>
  <si>
    <t>Marketing</t>
  </si>
  <si>
    <t>Conner, Billy</t>
  </si>
  <si>
    <t>Corlew, Sau</t>
  </si>
  <si>
    <t>Cortez, Kevin</t>
  </si>
  <si>
    <t>Cruz, Arthur</t>
  </si>
  <si>
    <t>Cunningham, Olivia</t>
  </si>
  <si>
    <t>Daniel, Terri</t>
  </si>
  <si>
    <t>Dawson, Hannah</t>
  </si>
  <si>
    <t>Dixon, Fred</t>
  </si>
  <si>
    <t>Ellis, Maria</t>
  </si>
  <si>
    <t>Foster, Gary</t>
  </si>
  <si>
    <t>Green, Sarah</t>
  </si>
  <si>
    <t xml:space="preserve">Department 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</si>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</sst>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theme="4" tint="0.59999389629810485"/>
        <bgColor indexed="2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 readingOrder="1"/>
    </xf>
    <xf numFmtId="14" fontId="0" fillId="0" borderId="0" xfId="0" applyNumberFormat="1" applyAlignment="1">
      <alignment horizontal="center" vertical="center" wrapText="1" readingOrder="1"/>
    </xf>
    <xf numFmtId="8" fontId="0" fillId="0" borderId="0" xfId="0" applyNumberFormat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 readingOrder="1"/>
    </xf>
    <xf numFmtId="14" fontId="0" fillId="0" borderId="1" xfId="0" applyNumberFormat="1" applyBorder="1" applyAlignment="1">
      <alignment horizontal="center" vertical="center" wrapText="1" readingOrder="1"/>
    </xf>
    <xf numFmtId="8" fontId="0" fillId="0" borderId="1" xfId="0" applyNumberFormat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 readingOrder="1"/>
    </xf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1AF8-3E04-4A86-8918-EFD8A6D159D2}">
  <dimension ref="A1:J31"/>
  <sheetViews>
    <sheetView tabSelected="1" topLeftCell="B1" zoomScaleNormal="100" workbookViewId="0">
      <selection activeCell="F14" sqref="F14"/>
    </sheetView>
  </sheetViews>
  <sheetFormatPr defaultRowHeight="14.5" x14ac:dyDescent="0.35"/>
  <cols>
    <col min="1" max="1" width="16.6328125" bestFit="1" customWidth="1"/>
    <col min="2" max="2" width="14.90625" customWidth="1"/>
    <col min="3" max="3" width="14.36328125" bestFit="1" customWidth="1"/>
    <col min="4" max="4" width="15.36328125" bestFit="1" customWidth="1"/>
    <col min="5" max="5" width="18.08984375" customWidth="1"/>
    <col min="6" max="6" width="19.54296875" customWidth="1"/>
    <col min="7" max="7" width="23.81640625" customWidth="1"/>
    <col min="8" max="8" width="26.1796875" style="10" customWidth="1"/>
    <col min="9" max="9" width="14.7265625" bestFit="1" customWidth="1"/>
    <col min="10" max="10" width="15.8164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x14ac:dyDescent="0.35">
      <c r="A2" s="2" t="s">
        <v>5</v>
      </c>
      <c r="B2" s="3">
        <v>36897</v>
      </c>
      <c r="C2" s="2">
        <v>96626812</v>
      </c>
      <c r="D2" s="2" t="s">
        <v>6</v>
      </c>
      <c r="E2" s="4">
        <v>373515</v>
      </c>
    </row>
    <row r="3" spans="1:10" x14ac:dyDescent="0.35">
      <c r="A3" s="2" t="s">
        <v>7</v>
      </c>
      <c r="B3" s="3">
        <v>36988</v>
      </c>
      <c r="C3" s="2">
        <v>89316264</v>
      </c>
      <c r="D3" s="2" t="s">
        <v>8</v>
      </c>
      <c r="E3" s="4">
        <v>443983</v>
      </c>
    </row>
    <row r="4" spans="1:10" x14ac:dyDescent="0.35">
      <c r="A4" s="2" t="s">
        <v>9</v>
      </c>
      <c r="B4" s="3">
        <v>44213</v>
      </c>
      <c r="C4" s="2">
        <v>74522260</v>
      </c>
      <c r="D4" s="2" t="s">
        <v>8</v>
      </c>
      <c r="E4" s="4">
        <v>358183</v>
      </c>
    </row>
    <row r="5" spans="1:10" x14ac:dyDescent="0.35">
      <c r="A5" s="2" t="s">
        <v>10</v>
      </c>
      <c r="B5" s="3">
        <v>38798</v>
      </c>
      <c r="C5" s="2">
        <v>85372916</v>
      </c>
      <c r="D5" s="2" t="s">
        <v>11</v>
      </c>
      <c r="E5" s="4">
        <v>82387</v>
      </c>
    </row>
    <row r="6" spans="1:10" ht="15" thickBot="1" x14ac:dyDescent="0.4">
      <c r="A6" s="2" t="s">
        <v>12</v>
      </c>
      <c r="B6" s="3">
        <v>37369</v>
      </c>
      <c r="C6" s="2">
        <v>95030369</v>
      </c>
      <c r="D6" s="2" t="s">
        <v>8</v>
      </c>
      <c r="E6" s="4">
        <v>332958</v>
      </c>
      <c r="H6" s="15" t="s">
        <v>43</v>
      </c>
    </row>
    <row r="7" spans="1:10" x14ac:dyDescent="0.35">
      <c r="A7" s="2" t="s">
        <v>13</v>
      </c>
      <c r="B7" s="3">
        <v>36758</v>
      </c>
      <c r="C7" s="2">
        <v>85078425</v>
      </c>
      <c r="D7" s="2" t="s">
        <v>8</v>
      </c>
      <c r="E7" s="4">
        <v>331806</v>
      </c>
      <c r="G7" s="12" t="s">
        <v>2</v>
      </c>
      <c r="H7" s="12" t="s">
        <v>0</v>
      </c>
      <c r="I7" s="12" t="s">
        <v>42</v>
      </c>
      <c r="J7" s="12" t="s">
        <v>4</v>
      </c>
    </row>
    <row r="8" spans="1:10" x14ac:dyDescent="0.35">
      <c r="A8" s="2" t="s">
        <v>14</v>
      </c>
      <c r="B8" s="3">
        <v>40781</v>
      </c>
      <c r="C8" s="2">
        <v>86228089</v>
      </c>
      <c r="D8" s="2" t="s">
        <v>15</v>
      </c>
      <c r="E8" s="4">
        <v>441762</v>
      </c>
      <c r="F8" s="5"/>
      <c r="G8" s="2">
        <v>76108625</v>
      </c>
      <c r="H8" s="13" t="str">
        <f t="shared" ref="H8:H14" si="0">_xlfn.XLOOKUP(G8,C:C,A:A,"None",0)</f>
        <v>Boyd, Carroll</v>
      </c>
      <c r="I8" s="16" t="str">
        <f t="shared" ref="I8:I14" si="1">_xlfn.XLOOKUP(G8,C:C,D:D,"None",0,1)</f>
        <v>Fulfillment</v>
      </c>
      <c r="J8" s="14">
        <f t="shared" ref="J8:J14" si="2">_xlfn.XLOOKUP(G8,C:C,E:E,"None",0,1)</f>
        <v>65762</v>
      </c>
    </row>
    <row r="9" spans="1:10" x14ac:dyDescent="0.35">
      <c r="A9" s="2" t="s">
        <v>16</v>
      </c>
      <c r="B9" s="3">
        <v>40035</v>
      </c>
      <c r="C9" s="2">
        <v>93515775</v>
      </c>
      <c r="D9" s="2" t="s">
        <v>17</v>
      </c>
      <c r="E9" s="4">
        <v>392864</v>
      </c>
      <c r="F9" s="5"/>
      <c r="G9" s="2">
        <v>68104945</v>
      </c>
      <c r="H9" s="13" t="str">
        <f t="shared" si="0"/>
        <v>Bridges, Benny</v>
      </c>
      <c r="I9" s="16" t="str">
        <f t="shared" si="1"/>
        <v>Communications</v>
      </c>
      <c r="J9" s="14">
        <f t="shared" si="2"/>
        <v>220218</v>
      </c>
    </row>
    <row r="10" spans="1:10" x14ac:dyDescent="0.35">
      <c r="A10" s="2" t="s">
        <v>18</v>
      </c>
      <c r="B10" s="3">
        <v>36988</v>
      </c>
      <c r="C10" s="2">
        <v>78333071</v>
      </c>
      <c r="D10" s="2" t="s">
        <v>17</v>
      </c>
      <c r="E10" s="4">
        <v>118172</v>
      </c>
      <c r="F10" s="5"/>
      <c r="G10" s="2">
        <v>78868934</v>
      </c>
      <c r="H10" s="13" t="str">
        <f t="shared" si="0"/>
        <v>Burke, Randal</v>
      </c>
      <c r="I10" s="16" t="str">
        <f t="shared" si="1"/>
        <v>Sales</v>
      </c>
      <c r="J10" s="14">
        <f t="shared" si="2"/>
        <v>275759</v>
      </c>
    </row>
    <row r="11" spans="1:10" x14ac:dyDescent="0.35">
      <c r="A11" s="2" t="s">
        <v>19</v>
      </c>
      <c r="B11" s="3">
        <v>37369</v>
      </c>
      <c r="C11" s="2">
        <v>76108625</v>
      </c>
      <c r="D11" s="2" t="s">
        <v>11</v>
      </c>
      <c r="E11" s="4">
        <v>65762</v>
      </c>
      <c r="F11" s="5"/>
      <c r="G11" s="2">
        <v>61572433</v>
      </c>
      <c r="H11" s="13" t="str">
        <f t="shared" si="0"/>
        <v>Burton, Stacey</v>
      </c>
      <c r="I11" s="16" t="str">
        <f t="shared" si="1"/>
        <v>Communications</v>
      </c>
      <c r="J11" s="14">
        <f t="shared" si="2"/>
        <v>202395</v>
      </c>
    </row>
    <row r="12" spans="1:10" x14ac:dyDescent="0.35">
      <c r="A12" s="2" t="s">
        <v>20</v>
      </c>
      <c r="B12" s="3">
        <v>38798</v>
      </c>
      <c r="C12" s="2">
        <v>68104945</v>
      </c>
      <c r="D12" s="2" t="s">
        <v>15</v>
      </c>
      <c r="E12" s="4">
        <v>220218</v>
      </c>
      <c r="F12" s="5"/>
      <c r="G12" s="2">
        <v>76477712</v>
      </c>
      <c r="H12" s="13" t="str">
        <f t="shared" si="0"/>
        <v>Byrd, Gwen</v>
      </c>
      <c r="I12" s="16" t="str">
        <f t="shared" si="1"/>
        <v>Customer Service</v>
      </c>
      <c r="J12" s="14">
        <f t="shared" si="2"/>
        <v>319205</v>
      </c>
    </row>
    <row r="13" spans="1:10" x14ac:dyDescent="0.35">
      <c r="A13" s="2" t="s">
        <v>21</v>
      </c>
      <c r="B13" s="3">
        <v>40781</v>
      </c>
      <c r="C13" s="2">
        <v>78868934</v>
      </c>
      <c r="D13" s="2" t="s">
        <v>8</v>
      </c>
      <c r="E13" s="4">
        <v>275759</v>
      </c>
      <c r="F13" s="5"/>
      <c r="G13" s="2">
        <v>83167131</v>
      </c>
      <c r="H13" s="13" t="str">
        <f t="shared" si="0"/>
        <v>Cain, Flora</v>
      </c>
      <c r="I13" s="16" t="str">
        <f t="shared" si="1"/>
        <v>Accounting</v>
      </c>
      <c r="J13" s="14">
        <f t="shared" si="2"/>
        <v>302047</v>
      </c>
    </row>
    <row r="14" spans="1:10" x14ac:dyDescent="0.35">
      <c r="A14" s="2" t="s">
        <v>22</v>
      </c>
      <c r="B14" s="3">
        <v>40753</v>
      </c>
      <c r="C14" s="2">
        <v>61572433</v>
      </c>
      <c r="D14" s="2" t="s">
        <v>15</v>
      </c>
      <c r="E14" s="4">
        <v>202395</v>
      </c>
      <c r="F14" s="5"/>
      <c r="G14" s="2">
        <v>92812677</v>
      </c>
      <c r="H14" s="13" t="str">
        <f t="shared" si="0"/>
        <v>Cortez, Kevin</v>
      </c>
      <c r="I14" s="16" t="str">
        <f t="shared" si="1"/>
        <v>Management</v>
      </c>
      <c r="J14" s="14">
        <f t="shared" si="2"/>
        <v>165150</v>
      </c>
    </row>
    <row r="15" spans="1:10" x14ac:dyDescent="0.35">
      <c r="A15" s="2" t="s">
        <v>23</v>
      </c>
      <c r="B15" s="3">
        <v>40452</v>
      </c>
      <c r="C15" s="2">
        <v>76477712</v>
      </c>
      <c r="D15" s="2" t="s">
        <v>17</v>
      </c>
      <c r="E15" s="4">
        <v>319205</v>
      </c>
      <c r="F15" s="5"/>
      <c r="G15" s="5"/>
    </row>
    <row r="16" spans="1:10" x14ac:dyDescent="0.35">
      <c r="A16" s="2" t="s">
        <v>24</v>
      </c>
      <c r="B16" s="3">
        <v>37369</v>
      </c>
      <c r="C16" s="2">
        <v>83167131</v>
      </c>
      <c r="D16" s="2" t="s">
        <v>25</v>
      </c>
      <c r="E16" s="4">
        <v>302047</v>
      </c>
      <c r="F16" s="5"/>
      <c r="G16" s="5"/>
    </row>
    <row r="17" spans="1:10" ht="15" thickBot="1" x14ac:dyDescent="0.4">
      <c r="A17" s="2" t="s">
        <v>26</v>
      </c>
      <c r="B17" s="3">
        <v>36758</v>
      </c>
      <c r="C17" s="2">
        <v>87496745</v>
      </c>
      <c r="D17" s="2" t="s">
        <v>8</v>
      </c>
      <c r="E17" s="4">
        <v>181772</v>
      </c>
      <c r="F17" s="5"/>
      <c r="H17"/>
    </row>
    <row r="18" spans="1:10" x14ac:dyDescent="0.35">
      <c r="A18" s="2" t="s">
        <v>27</v>
      </c>
      <c r="B18" s="3">
        <v>40460</v>
      </c>
      <c r="C18" s="2">
        <v>71797513</v>
      </c>
      <c r="D18" s="2" t="s">
        <v>8</v>
      </c>
      <c r="E18" s="4">
        <v>347736</v>
      </c>
      <c r="F18" s="5"/>
      <c r="G18" s="12" t="s">
        <v>2</v>
      </c>
      <c r="H18" s="12" t="s">
        <v>0</v>
      </c>
      <c r="I18" s="12" t="s">
        <v>42</v>
      </c>
      <c r="J18" s="12" t="s">
        <v>4</v>
      </c>
    </row>
    <row r="19" spans="1:10" x14ac:dyDescent="0.35">
      <c r="A19" s="2" t="s">
        <v>28</v>
      </c>
      <c r="B19" s="3">
        <v>40963</v>
      </c>
      <c r="C19" s="2">
        <v>87626820</v>
      </c>
      <c r="D19" s="2" t="s">
        <v>11</v>
      </c>
      <c r="E19" s="4">
        <v>175401</v>
      </c>
      <c r="F19" s="5"/>
      <c r="G19" s="5">
        <v>76108625</v>
      </c>
      <c r="H19" s="5" t="str">
        <f>_xlfn.XLOOKUP(G19,C:C,A:A,"None",0)</f>
        <v>Boyd, Carroll</v>
      </c>
      <c r="I19" s="5" t="str">
        <f>_xlfn.XLOOKUP(H19,A:A,D:D,"None",0)</f>
        <v>Fulfillment</v>
      </c>
      <c r="J19" s="5">
        <f>_xlfn.XLOOKUP(G19,C:C,E:E,"None",0)</f>
        <v>65762</v>
      </c>
    </row>
    <row r="20" spans="1:10" x14ac:dyDescent="0.35">
      <c r="A20" s="2" t="s">
        <v>29</v>
      </c>
      <c r="B20" s="3">
        <v>39371</v>
      </c>
      <c r="C20" s="2">
        <v>90455151</v>
      </c>
      <c r="D20" s="2" t="s">
        <v>30</v>
      </c>
      <c r="E20" s="4">
        <v>357353</v>
      </c>
      <c r="F20" s="5"/>
      <c r="G20" s="2">
        <v>68104945</v>
      </c>
      <c r="H20" s="5" t="str">
        <f t="shared" ref="H20:H26" si="3">_xlfn.XLOOKUP(G20,C:C,A:A,"None",0)</f>
        <v>Bridges, Benny</v>
      </c>
      <c r="I20" s="5" t="str">
        <f t="shared" ref="I20:I25" si="4">_xlfn.XLOOKUP(H20,A:A,D:D,"None",0)</f>
        <v>Communications</v>
      </c>
      <c r="J20" s="5">
        <f t="shared" ref="J20:J26" si="5">_xlfn.XLOOKUP(G20,C:C,E:E,"None",0)</f>
        <v>220218</v>
      </c>
    </row>
    <row r="21" spans="1:10" x14ac:dyDescent="0.35">
      <c r="A21" s="2" t="s">
        <v>31</v>
      </c>
      <c r="B21" s="3">
        <v>38195</v>
      </c>
      <c r="C21" s="2">
        <v>67217337</v>
      </c>
      <c r="D21" s="2" t="s">
        <v>15</v>
      </c>
      <c r="E21" s="4">
        <v>84714</v>
      </c>
      <c r="F21" s="5"/>
      <c r="G21" s="2">
        <v>78868934</v>
      </c>
      <c r="H21" s="5" t="str">
        <f t="shared" si="3"/>
        <v>Burke, Randal</v>
      </c>
      <c r="I21" s="5" t="str">
        <f t="shared" si="4"/>
        <v>Sales</v>
      </c>
      <c r="J21" s="5">
        <f t="shared" si="5"/>
        <v>275759</v>
      </c>
    </row>
    <row r="22" spans="1:10" x14ac:dyDescent="0.35">
      <c r="A22" s="2" t="s">
        <v>32</v>
      </c>
      <c r="B22" s="3">
        <v>38797</v>
      </c>
      <c r="C22" s="2">
        <v>98626473</v>
      </c>
      <c r="D22" s="2" t="s">
        <v>17</v>
      </c>
      <c r="E22" s="4">
        <v>352618</v>
      </c>
      <c r="F22" s="5"/>
      <c r="G22" s="2">
        <v>61572433</v>
      </c>
      <c r="H22" s="5" t="str">
        <f t="shared" si="3"/>
        <v>Burton, Stacey</v>
      </c>
      <c r="I22" s="5" t="str">
        <f t="shared" si="4"/>
        <v>Communications</v>
      </c>
      <c r="J22" s="5">
        <f t="shared" si="5"/>
        <v>202395</v>
      </c>
    </row>
    <row r="23" spans="1:10" x14ac:dyDescent="0.35">
      <c r="A23" s="2" t="s">
        <v>33</v>
      </c>
      <c r="B23" s="3">
        <v>36758</v>
      </c>
      <c r="C23" s="2">
        <v>92812677</v>
      </c>
      <c r="D23" s="2" t="s">
        <v>6</v>
      </c>
      <c r="E23" s="4">
        <v>165150</v>
      </c>
      <c r="F23" s="5"/>
      <c r="G23" s="2">
        <v>76477712</v>
      </c>
      <c r="H23" s="5" t="str">
        <f t="shared" si="3"/>
        <v>Byrd, Gwen</v>
      </c>
      <c r="I23" s="5" t="str">
        <f t="shared" si="4"/>
        <v>Customer Service</v>
      </c>
      <c r="J23" s="5">
        <f t="shared" si="5"/>
        <v>319205</v>
      </c>
    </row>
    <row r="24" spans="1:10" x14ac:dyDescent="0.35">
      <c r="A24" s="2" t="s">
        <v>34</v>
      </c>
      <c r="B24" s="3">
        <v>36584</v>
      </c>
      <c r="C24" s="2">
        <v>69750560</v>
      </c>
      <c r="D24" s="2" t="s">
        <v>8</v>
      </c>
      <c r="E24" s="4">
        <v>210365</v>
      </c>
      <c r="F24" s="5"/>
      <c r="G24" s="2">
        <v>83167131</v>
      </c>
      <c r="H24" s="5" t="str">
        <f t="shared" si="3"/>
        <v>Cain, Flora</v>
      </c>
      <c r="I24" s="5" t="str">
        <f t="shared" si="4"/>
        <v>Accounting</v>
      </c>
      <c r="J24" s="5">
        <f t="shared" si="5"/>
        <v>302047</v>
      </c>
    </row>
    <row r="25" spans="1:10" x14ac:dyDescent="0.35">
      <c r="A25" s="2" t="s">
        <v>35</v>
      </c>
      <c r="B25" s="3">
        <v>36584</v>
      </c>
      <c r="C25" s="2">
        <v>68251623</v>
      </c>
      <c r="D25" s="2" t="s">
        <v>8</v>
      </c>
      <c r="E25" s="4">
        <v>270704</v>
      </c>
      <c r="F25" s="5"/>
      <c r="G25" s="2">
        <v>92812677</v>
      </c>
      <c r="H25" s="5" t="str">
        <f t="shared" si="3"/>
        <v>Cortez, Kevin</v>
      </c>
      <c r="I25" s="5" t="str">
        <f t="shared" si="4"/>
        <v>Management</v>
      </c>
      <c r="J25" s="5">
        <f t="shared" si="5"/>
        <v>165150</v>
      </c>
    </row>
    <row r="26" spans="1:10" x14ac:dyDescent="0.35">
      <c r="A26" s="2" t="s">
        <v>36</v>
      </c>
      <c r="B26" s="3">
        <v>37582</v>
      </c>
      <c r="C26" s="2">
        <v>71613688</v>
      </c>
      <c r="D26" s="2" t="s">
        <v>8</v>
      </c>
      <c r="E26" s="4">
        <v>51393</v>
      </c>
      <c r="F26" s="5"/>
      <c r="G26" s="5">
        <v>57726</v>
      </c>
      <c r="H26" s="5" t="str">
        <f t="shared" si="3"/>
        <v>None</v>
      </c>
      <c r="I26" s="5"/>
      <c r="J26" s="5" t="str">
        <f t="shared" si="5"/>
        <v>None</v>
      </c>
    </row>
    <row r="27" spans="1:10" x14ac:dyDescent="0.35">
      <c r="A27" s="2" t="s">
        <v>37</v>
      </c>
      <c r="B27" s="3">
        <v>38195</v>
      </c>
      <c r="C27" s="2">
        <v>90836724</v>
      </c>
      <c r="D27" s="2" t="s">
        <v>15</v>
      </c>
      <c r="E27" s="4">
        <v>444514</v>
      </c>
      <c r="F27" s="5"/>
      <c r="G27" s="5"/>
    </row>
    <row r="28" spans="1:10" x14ac:dyDescent="0.35">
      <c r="A28" s="2" t="s">
        <v>38</v>
      </c>
      <c r="B28" s="3">
        <v>42139</v>
      </c>
      <c r="C28" s="2">
        <v>88542109</v>
      </c>
      <c r="D28" s="2" t="s">
        <v>30</v>
      </c>
      <c r="E28" s="4">
        <v>295400</v>
      </c>
      <c r="F28" s="5"/>
      <c r="G28" s="5"/>
    </row>
    <row r="29" spans="1:10" x14ac:dyDescent="0.35">
      <c r="A29" s="2" t="s">
        <v>39</v>
      </c>
      <c r="B29" s="3">
        <v>43355</v>
      </c>
      <c r="C29" s="2">
        <v>77412033</v>
      </c>
      <c r="D29" s="2" t="s">
        <v>25</v>
      </c>
      <c r="E29" s="4">
        <v>310250</v>
      </c>
      <c r="F29" s="5"/>
      <c r="G29" s="5"/>
    </row>
    <row r="30" spans="1:10" x14ac:dyDescent="0.35">
      <c r="A30" s="2" t="s">
        <v>40</v>
      </c>
      <c r="B30" s="3">
        <v>40485</v>
      </c>
      <c r="C30" s="2">
        <v>65498712</v>
      </c>
      <c r="D30" s="2" t="s">
        <v>11</v>
      </c>
      <c r="E30" s="4">
        <v>125800</v>
      </c>
      <c r="F30" s="5"/>
      <c r="G30" s="5"/>
    </row>
    <row r="31" spans="1:10" ht="15" thickBot="1" x14ac:dyDescent="0.4">
      <c r="A31" s="6" t="s">
        <v>41</v>
      </c>
      <c r="B31" s="7">
        <v>43641</v>
      </c>
      <c r="C31" s="6">
        <v>91223344</v>
      </c>
      <c r="D31" s="6" t="s">
        <v>6</v>
      </c>
      <c r="E31" s="8">
        <v>412000</v>
      </c>
      <c r="F31" s="9"/>
      <c r="G31" s="9"/>
      <c r="H3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Jamamim</dc:creator>
  <cp:lastModifiedBy>Tuan Jamamim</cp:lastModifiedBy>
  <dcterms:created xsi:type="dcterms:W3CDTF">2026-03-30T17:23:21Z</dcterms:created>
  <dcterms:modified xsi:type="dcterms:W3CDTF">2026-05-13T07:52:13Z</dcterms:modified>
</cp:coreProperties>
</file>