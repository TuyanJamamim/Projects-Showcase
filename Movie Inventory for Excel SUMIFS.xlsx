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uan Jamamim\Downloads\"/>
    </mc:Choice>
  </mc:AlternateContent>
  <xr:revisionPtr revIDLastSave="0" documentId="13_ncr:1_{38B23565-35C0-4965-9950-B5AFAD89F7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ifs" sheetId="2" r:id="rId1"/>
    <sheet name="sumif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6" i="2" l="1"/>
  <c r="J18" i="2"/>
  <c r="J14" i="2"/>
  <c r="J10" i="2"/>
  <c r="J8" i="2"/>
  <c r="J6" i="2"/>
  <c r="J18" i="1"/>
  <c r="J14" i="1"/>
  <c r="J6" i="1"/>
  <c r="J10" i="1"/>
  <c r="J8" i="1"/>
</calcChain>
</file>

<file path=xl/sharedStrings.xml><?xml version="1.0" encoding="utf-8"?>
<sst xmlns="http://schemas.openxmlformats.org/spreadsheetml/2006/main" count="368" uniqueCount="65">
  <si>
    <t>Title</t>
  </si>
  <si>
    <t>Date Purchased</t>
  </si>
  <si>
    <t>Rating</t>
  </si>
  <si>
    <t>Genre</t>
  </si>
  <si>
    <t>Location</t>
  </si>
  <si>
    <t>Star Wars</t>
  </si>
  <si>
    <t>PG</t>
  </si>
  <si>
    <t>Science Fiction</t>
  </si>
  <si>
    <t>Living Room</t>
  </si>
  <si>
    <t>The Empire Strikes Back</t>
  </si>
  <si>
    <t>The Return of the Jedi</t>
  </si>
  <si>
    <t>Gremlins</t>
  </si>
  <si>
    <t>PG-13</t>
  </si>
  <si>
    <t>Fantasy</t>
  </si>
  <si>
    <t>Basement</t>
  </si>
  <si>
    <t>The Princess Bride</t>
  </si>
  <si>
    <t>I Am Legend</t>
  </si>
  <si>
    <t>Horror</t>
  </si>
  <si>
    <t>The Good Dinosaur</t>
  </si>
  <si>
    <t>The Lion, The Witch, and the Wardrobe</t>
  </si>
  <si>
    <t>The BFG</t>
  </si>
  <si>
    <t>Risen</t>
  </si>
  <si>
    <t>The Martian</t>
  </si>
  <si>
    <t>Young Sherlock Holmes</t>
  </si>
  <si>
    <t>Ladyhawke</t>
  </si>
  <si>
    <t>Stardust</t>
  </si>
  <si>
    <t>Mystery Men</t>
  </si>
  <si>
    <t>The Man Who Knew Too Much</t>
  </si>
  <si>
    <t>Groundhog Day</t>
  </si>
  <si>
    <t>Dirty Rotten Scoundrels</t>
  </si>
  <si>
    <t>The Giver</t>
  </si>
  <si>
    <t>The Secret Life of Walter Mitty</t>
  </si>
  <si>
    <t>Childrens</t>
  </si>
  <si>
    <t>Historical</t>
  </si>
  <si>
    <t>Mystery</t>
  </si>
  <si>
    <t>Comedy</t>
  </si>
  <si>
    <t>Drama</t>
  </si>
  <si>
    <t>Cost Paid</t>
  </si>
  <si>
    <t>Knives Out</t>
  </si>
  <si>
    <t>Format</t>
  </si>
  <si>
    <t>Blu-ray</t>
  </si>
  <si>
    <t>DVD</t>
  </si>
  <si>
    <t>My Spy</t>
  </si>
  <si>
    <t>Jumanji: The Next Level</t>
  </si>
  <si>
    <t>Jumanji: Welcome to the Jungle</t>
  </si>
  <si>
    <t>Toy Story 4</t>
  </si>
  <si>
    <t>G</t>
  </si>
  <si>
    <t>Shazam!</t>
  </si>
  <si>
    <t>Ford V Ferrari</t>
  </si>
  <si>
    <t>Gretel &amp; Hansel</t>
  </si>
  <si>
    <t>Sonic the Hedgehog</t>
  </si>
  <si>
    <t>Onward</t>
  </si>
  <si>
    <t>Artemis Fowl</t>
  </si>
  <si>
    <t>Jungle Cruise</t>
  </si>
  <si>
    <t>Adventure</t>
  </si>
  <si>
    <t>Wonder Woman 1984</t>
  </si>
  <si>
    <t>Tenet</t>
  </si>
  <si>
    <t>Thriller</t>
  </si>
  <si>
    <t>Cost Of Blu-ray:</t>
  </si>
  <si>
    <t>Cost Of DVD:</t>
  </si>
  <si>
    <r>
      <t xml:space="preserve">SUMifs </t>
    </r>
    <r>
      <rPr>
        <b/>
        <sz val="11"/>
        <color theme="1"/>
        <rFont val="Calibri"/>
        <family val="2"/>
        <scheme val="minor"/>
      </rPr>
      <t>formulas:</t>
    </r>
  </si>
  <si>
    <t>Cost of Blue Rays:</t>
  </si>
  <si>
    <t>Cost of DVD:</t>
  </si>
  <si>
    <t>Cost of Mystery dvd:</t>
  </si>
  <si>
    <t>Cost of mysters dvd: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</si>
</sst>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9">
    <border>
      <left/>
      <right/>
      <top/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 style="thick">
        <color indexed="21"/>
      </top>
      <bottom style="thin">
        <color indexed="64"/>
      </bottom>
      <diagonal/>
    </border>
    <border>
      <left/>
      <right/>
      <top style="thick">
        <color indexed="21"/>
      </top>
      <bottom style="thin">
        <color indexed="64"/>
      </bottom>
      <diagonal/>
    </border>
    <border>
      <left/>
      <right style="thin">
        <color indexed="21"/>
      </right>
      <top style="thick">
        <color indexed="21"/>
      </top>
      <bottom style="thin">
        <color indexed="64"/>
      </bottom>
      <diagonal/>
    </border>
    <border>
      <left style="thin">
        <color indexed="21"/>
      </left>
      <right/>
      <top style="thin">
        <color indexed="64"/>
      </top>
      <bottom style="thick">
        <color indexed="21"/>
      </bottom>
      <diagonal/>
    </border>
    <border>
      <left/>
      <right/>
      <top style="thin">
        <color indexed="64"/>
      </top>
      <bottom style="thick">
        <color indexed="21"/>
      </bottom>
      <diagonal/>
    </border>
    <border>
      <left/>
      <right style="thin">
        <color indexed="21"/>
      </right>
      <top style="thin">
        <color indexed="64"/>
      </top>
      <bottom style="thick">
        <color indexed="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44" fontId="0" fillId="0" borderId="0" xfId="1" applyFont="1"/>
    <xf numFmtId="0" fontId="1" fillId="0" borderId="0" xfId="0" applyFont="1"/>
    <xf numFmtId="44" fontId="1" fillId="0" borderId="0" xfId="1" applyFont="1"/>
    <xf numFmtId="0" fontId="4" fillId="0" borderId="0" xfId="0" applyFont="1"/>
    <xf numFmtId="0" fontId="5" fillId="0" borderId="0" xfId="0" applyFont="1"/>
    <xf numFmtId="44" fontId="6" fillId="0" borderId="0" xfId="1" applyFont="1"/>
    <xf numFmtId="0" fontId="7" fillId="3" borderId="1" xfId="0" applyFont="1" applyFill="1" applyBorder="1"/>
    <xf numFmtId="0" fontId="7" fillId="2" borderId="0" xfId="0" applyFont="1" applyFill="1"/>
    <xf numFmtId="0" fontId="7" fillId="3" borderId="0" xfId="0" applyFont="1" applyFill="1"/>
    <xf numFmtId="44" fontId="7" fillId="2" borderId="0" xfId="1" applyFont="1" applyFill="1" applyBorder="1" applyAlignment="1"/>
    <xf numFmtId="44" fontId="7" fillId="3" borderId="0" xfId="1" applyFont="1" applyFill="1" applyBorder="1" applyAlignment="1"/>
    <xf numFmtId="0" fontId="7" fillId="3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/>
    <xf numFmtId="44" fontId="7" fillId="2" borderId="1" xfId="0" applyNumberFormat="1" applyFont="1" applyFill="1" applyBorder="1"/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44" fontId="8" fillId="2" borderId="4" xfId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44" fontId="7" fillId="3" borderId="7" xfId="1" applyFont="1" applyFill="1" applyBorder="1" applyAlignment="1"/>
    <xf numFmtId="0" fontId="7" fillId="3" borderId="8" xfId="0" applyFont="1" applyFill="1" applyBorder="1"/>
    <xf numFmtId="2" fontId="7" fillId="3" borderId="7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/>
        <right style="thin">
          <color indexed="21"/>
        </right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/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2" formatCode="0.00"/>
      <fill>
        <patternFill patternType="solid">
          <fgColor indexed="2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/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/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/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24"/>
          <bgColor indexed="9"/>
        </patternFill>
      </fill>
      <border diagonalUp="0" diagonalDown="0" outline="0">
        <left style="thin">
          <color indexed="21"/>
        </left>
        <right/>
        <top style="thin">
          <color indexed="64"/>
        </top>
        <bottom style="thick">
          <color indexed="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C73700-5C8E-415C-B112-92AD09FD82A1}" name="Table13" displayName="Table13" ref="A1:G36" totalsRowCount="1" headerRowDxfId="15" dataDxfId="14">
  <autoFilter ref="A1:G35" xr:uid="{71FC5D61-91BF-ED40-B4E0-CD566238D691}"/>
  <tableColumns count="7">
    <tableColumn id="1" xr3:uid="{B01B55DE-BBEC-409F-888B-DB1174CCD100}" name="Title" dataDxfId="13" totalsRowDxfId="6"/>
    <tableColumn id="2" xr3:uid="{BACD8207-EFAE-4DC3-9475-A51F92114891}" name="Format" dataDxfId="12" totalsRowDxfId="5"/>
    <tableColumn id="3" xr3:uid="{289B2FD9-469B-4E7B-A196-ED34838E1A21}" name="Date Purchased" dataDxfId="11" totalsRowDxfId="4"/>
    <tableColumn id="4" xr3:uid="{BC48AF8A-A272-4D44-BB73-3D091B5B8F75}" name="Rating" dataDxfId="10" totalsRowDxfId="3"/>
    <tableColumn id="5" xr3:uid="{A4B583D6-9A77-4793-ACFA-0EE28B74CF52}" name="Cost Paid" totalsRowFunction="custom" dataDxfId="9" totalsRowDxfId="2" dataCellStyle="Currency" totalsRowCellStyle="Currency">
      <totalsRowFormula>COUNTIFS(Table13[Cost Paid],"&gt;10",Table13[Format],"DVD")</totalsRowFormula>
    </tableColumn>
    <tableColumn id="6" xr3:uid="{DAFD4C41-E848-4F25-9496-1267D67BD502}" name="Genre" dataDxfId="8" totalsRowDxfId="1"/>
    <tableColumn id="7" xr3:uid="{32891307-DDE8-46D2-8A92-8ABB6DF0AE2E}" name="Location" dataDxfId="7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900BA-1D30-E049-8A50-4424AAA7697F}" name="Table1" displayName="Table1" ref="A1:G36" totalsRowCount="1" headerRowDxfId="31" dataDxfId="30">
  <autoFilter ref="A1:G35" xr:uid="{71FC5D61-91BF-ED40-B4E0-CD566238D691}"/>
  <tableColumns count="7">
    <tableColumn id="1" xr3:uid="{CDDDD849-B88B-7E48-A925-13CDA0569CA5}" name="Title" dataDxfId="29" totalsRowDxfId="28"/>
    <tableColumn id="2" xr3:uid="{1C2F0EC5-BE13-7D4B-82AF-FF1327DB470D}" name="Format" dataDxfId="27" totalsRowDxfId="26"/>
    <tableColumn id="3" xr3:uid="{C5D9AADE-15D9-784B-A045-BFD698200726}" name="Date Purchased" dataDxfId="25" totalsRowDxfId="24"/>
    <tableColumn id="4" xr3:uid="{62882316-6732-3F4D-A17B-E1AB758C7C88}" name="Rating" dataDxfId="23" totalsRowDxfId="22"/>
    <tableColumn id="5" xr3:uid="{A83B7A53-62C4-8F46-9D54-B08B5169A11C}" name="Cost Paid" dataDxfId="21" totalsRowDxfId="20" dataCellStyle="Currency" totalsRowCellStyle="Currency"/>
    <tableColumn id="6" xr3:uid="{FAB0DC72-5873-AC4B-B65D-448727567F78}" name="Genre" dataDxfId="19" totalsRowDxfId="18"/>
    <tableColumn id="7" xr3:uid="{962F37CC-14CB-954E-AD66-51613713CC94}" name="Location" dataDxfId="17" totalsRow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2D9-635D-4DBB-8992-C90C0D2475E6}">
  <dimension ref="A1:S59"/>
  <sheetViews>
    <sheetView tabSelected="1" zoomScale="60" zoomScaleNormal="60" workbookViewId="0">
      <selection activeCell="K32" sqref="K32"/>
    </sheetView>
  </sheetViews>
  <sheetFormatPr defaultColWidth="8.81640625" defaultRowHeight="14.5" x14ac:dyDescent="0.35"/>
  <cols>
    <col min="1" max="1" width="33.90625" bestFit="1" customWidth="1"/>
    <col min="2" max="2" width="13.7265625" bestFit="1" customWidth="1"/>
    <col min="3" max="3" width="20.453125" bestFit="1" customWidth="1"/>
    <col min="4" max="4" width="13.1796875" bestFit="1" customWidth="1"/>
    <col min="5" max="5" width="16.7265625" style="2" bestFit="1" customWidth="1"/>
    <col min="6" max="6" width="12.90625" bestFit="1" customWidth="1"/>
    <col min="7" max="7" width="14.7265625" bestFit="1" customWidth="1"/>
    <col min="9" max="9" width="19.81640625" customWidth="1"/>
    <col min="10" max="10" width="16.453125" style="2" bestFit="1" customWidth="1"/>
  </cols>
  <sheetData>
    <row r="1" spans="1:19" s="1" customFormat="1" ht="15" thickTop="1" x14ac:dyDescent="0.35">
      <c r="A1" s="17" t="s">
        <v>0</v>
      </c>
      <c r="B1" s="18" t="s">
        <v>39</v>
      </c>
      <c r="C1" s="18" t="s">
        <v>1</v>
      </c>
      <c r="D1" s="18" t="s">
        <v>2</v>
      </c>
      <c r="E1" s="19" t="s">
        <v>37</v>
      </c>
      <c r="F1" s="18" t="s">
        <v>3</v>
      </c>
      <c r="G1" s="20" t="s">
        <v>4</v>
      </c>
      <c r="J1" s="2"/>
      <c r="K1"/>
      <c r="L1"/>
      <c r="M1"/>
      <c r="N1"/>
      <c r="O1"/>
      <c r="P1"/>
      <c r="Q1"/>
      <c r="R1"/>
      <c r="S1"/>
    </row>
    <row r="2" spans="1:19" s="1" customFormat="1" x14ac:dyDescent="0.35">
      <c r="A2" s="14" t="s">
        <v>38</v>
      </c>
      <c r="B2" s="9" t="s">
        <v>40</v>
      </c>
      <c r="C2" s="9">
        <v>2019</v>
      </c>
      <c r="D2" s="9" t="s">
        <v>12</v>
      </c>
      <c r="E2" s="11">
        <v>19</v>
      </c>
      <c r="F2" s="9" t="s">
        <v>34</v>
      </c>
      <c r="G2" s="15" t="s">
        <v>8</v>
      </c>
      <c r="J2" s="2"/>
      <c r="K2"/>
      <c r="L2"/>
      <c r="M2"/>
      <c r="N2"/>
      <c r="O2"/>
      <c r="P2"/>
      <c r="Q2"/>
      <c r="R2"/>
      <c r="S2"/>
    </row>
    <row r="3" spans="1:19" s="1" customFormat="1" x14ac:dyDescent="0.35">
      <c r="A3" s="8" t="s">
        <v>42</v>
      </c>
      <c r="B3" s="10" t="s">
        <v>40</v>
      </c>
      <c r="C3" s="10">
        <v>2020</v>
      </c>
      <c r="D3" s="10" t="s">
        <v>12</v>
      </c>
      <c r="E3" s="12">
        <v>15</v>
      </c>
      <c r="F3" s="10" t="s">
        <v>35</v>
      </c>
      <c r="G3" s="13" t="s">
        <v>8</v>
      </c>
      <c r="J3" s="2"/>
      <c r="K3"/>
      <c r="L3"/>
      <c r="M3"/>
      <c r="N3"/>
      <c r="O3"/>
      <c r="P3"/>
      <c r="Q3"/>
      <c r="R3"/>
      <c r="S3"/>
    </row>
    <row r="4" spans="1:19" s="1" customFormat="1" x14ac:dyDescent="0.35">
      <c r="A4" s="14" t="s">
        <v>43</v>
      </c>
      <c r="B4" s="9" t="s">
        <v>40</v>
      </c>
      <c r="C4" s="9">
        <v>2019</v>
      </c>
      <c r="D4" s="9" t="s">
        <v>12</v>
      </c>
      <c r="E4" s="11">
        <v>18</v>
      </c>
      <c r="F4" s="9" t="s">
        <v>35</v>
      </c>
      <c r="G4" s="15" t="s">
        <v>14</v>
      </c>
      <c r="J4" s="2"/>
      <c r="K4"/>
      <c r="L4"/>
      <c r="M4"/>
      <c r="N4"/>
      <c r="O4"/>
      <c r="P4"/>
      <c r="Q4"/>
      <c r="R4"/>
      <c r="S4"/>
    </row>
    <row r="5" spans="1:19" x14ac:dyDescent="0.35">
      <c r="A5" s="8" t="s">
        <v>5</v>
      </c>
      <c r="B5" s="10" t="s">
        <v>41</v>
      </c>
      <c r="C5" s="10">
        <v>2007</v>
      </c>
      <c r="D5" s="10" t="s">
        <v>6</v>
      </c>
      <c r="E5" s="12">
        <v>5</v>
      </c>
      <c r="F5" s="10" t="s">
        <v>7</v>
      </c>
      <c r="G5" s="13" t="s">
        <v>8</v>
      </c>
      <c r="I5" s="1"/>
      <c r="J5" s="7" t="s">
        <v>60</v>
      </c>
    </row>
    <row r="6" spans="1:19" x14ac:dyDescent="0.35">
      <c r="A6" s="14" t="s">
        <v>9</v>
      </c>
      <c r="B6" s="9" t="s">
        <v>41</v>
      </c>
      <c r="C6" s="9">
        <v>2010</v>
      </c>
      <c r="D6" s="9" t="s">
        <v>6</v>
      </c>
      <c r="E6" s="11">
        <v>9</v>
      </c>
      <c r="F6" s="9" t="s">
        <v>7</v>
      </c>
      <c r="G6" s="15" t="s">
        <v>8</v>
      </c>
      <c r="I6" s="6" t="s">
        <v>58</v>
      </c>
      <c r="J6" s="2">
        <f>SUMIFS(Table13[Cost Paid],Table13[Format],B2)</f>
        <v>315</v>
      </c>
    </row>
    <row r="7" spans="1:19" x14ac:dyDescent="0.35">
      <c r="A7" s="8" t="s">
        <v>10</v>
      </c>
      <c r="B7" s="10" t="s">
        <v>41</v>
      </c>
      <c r="C7" s="10">
        <v>2011</v>
      </c>
      <c r="D7" s="10" t="s">
        <v>6</v>
      </c>
      <c r="E7" s="12">
        <v>6</v>
      </c>
      <c r="F7" s="10" t="s">
        <v>7</v>
      </c>
      <c r="G7" s="13" t="s">
        <v>8</v>
      </c>
      <c r="I7" s="1"/>
    </row>
    <row r="8" spans="1:19" x14ac:dyDescent="0.35">
      <c r="A8" s="14" t="s">
        <v>11</v>
      </c>
      <c r="B8" s="9" t="s">
        <v>40</v>
      </c>
      <c r="C8" s="9">
        <v>2002</v>
      </c>
      <c r="D8" s="9" t="s">
        <v>12</v>
      </c>
      <c r="E8" s="11">
        <v>3</v>
      </c>
      <c r="F8" s="9" t="s">
        <v>13</v>
      </c>
      <c r="G8" s="15" t="s">
        <v>14</v>
      </c>
      <c r="I8" s="6" t="s">
        <v>59</v>
      </c>
      <c r="J8" s="2">
        <f>SUMIFS(Table13[Cost Paid],Table13[Format],B5)</f>
        <v>71</v>
      </c>
    </row>
    <row r="9" spans="1:19" x14ac:dyDescent="0.35">
      <c r="A9" s="8" t="s">
        <v>15</v>
      </c>
      <c r="B9" s="10" t="s">
        <v>40</v>
      </c>
      <c r="C9" s="10">
        <v>1999</v>
      </c>
      <c r="D9" s="10" t="s">
        <v>6</v>
      </c>
      <c r="E9" s="12">
        <v>7</v>
      </c>
      <c r="F9" s="10" t="s">
        <v>13</v>
      </c>
      <c r="G9" s="13" t="s">
        <v>8</v>
      </c>
    </row>
    <row r="10" spans="1:19" x14ac:dyDescent="0.35">
      <c r="A10" s="14" t="s">
        <v>16</v>
      </c>
      <c r="B10" s="9" t="s">
        <v>40</v>
      </c>
      <c r="C10" s="9">
        <v>2009</v>
      </c>
      <c r="D10" s="9" t="s">
        <v>12</v>
      </c>
      <c r="E10" s="11">
        <v>2</v>
      </c>
      <c r="F10" s="9" t="s">
        <v>17</v>
      </c>
      <c r="G10" s="15" t="s">
        <v>14</v>
      </c>
      <c r="I10" s="6" t="s">
        <v>63</v>
      </c>
      <c r="J10" s="2">
        <f>SUMIFS(Table13[Cost Paid],Table13[Format],B22,Table13[Genre],F2)</f>
        <v>24</v>
      </c>
    </row>
    <row r="11" spans="1:19" x14ac:dyDescent="0.35">
      <c r="A11" s="8" t="s">
        <v>18</v>
      </c>
      <c r="B11" s="10" t="s">
        <v>40</v>
      </c>
      <c r="C11" s="10">
        <v>2017</v>
      </c>
      <c r="D11" s="10" t="s">
        <v>6</v>
      </c>
      <c r="E11" s="12">
        <v>14</v>
      </c>
      <c r="F11" s="10" t="s">
        <v>32</v>
      </c>
      <c r="G11" s="13" t="s">
        <v>14</v>
      </c>
    </row>
    <row r="12" spans="1:19" x14ac:dyDescent="0.35">
      <c r="A12" s="14" t="s">
        <v>19</v>
      </c>
      <c r="B12" s="9" t="s">
        <v>41</v>
      </c>
      <c r="C12" s="9">
        <v>2009</v>
      </c>
      <c r="D12" s="9" t="s">
        <v>12</v>
      </c>
      <c r="E12" s="11">
        <v>5</v>
      </c>
      <c r="F12" s="9" t="s">
        <v>13</v>
      </c>
      <c r="G12" s="15" t="s">
        <v>14</v>
      </c>
    </row>
    <row r="13" spans="1:19" x14ac:dyDescent="0.35">
      <c r="A13" s="8" t="s">
        <v>20</v>
      </c>
      <c r="B13" s="10" t="s">
        <v>40</v>
      </c>
      <c r="C13" s="10">
        <v>2017</v>
      </c>
      <c r="D13" s="10" t="s">
        <v>6</v>
      </c>
      <c r="E13" s="12">
        <v>15</v>
      </c>
      <c r="F13" s="10" t="s">
        <v>32</v>
      </c>
      <c r="G13" s="13" t="s">
        <v>14</v>
      </c>
    </row>
    <row r="14" spans="1:19" x14ac:dyDescent="0.35">
      <c r="A14" s="14" t="s">
        <v>21</v>
      </c>
      <c r="B14" s="9" t="s">
        <v>41</v>
      </c>
      <c r="C14" s="9">
        <v>2016</v>
      </c>
      <c r="D14" s="9" t="s">
        <v>12</v>
      </c>
      <c r="E14" s="11">
        <v>5</v>
      </c>
      <c r="F14" s="9" t="s">
        <v>33</v>
      </c>
      <c r="G14" s="15" t="s">
        <v>8</v>
      </c>
      <c r="I14" t="s">
        <v>61</v>
      </c>
      <c r="J14" s="2">
        <f>SUMIFS(Table13[Cost Paid],Table13[Format],B2)</f>
        <v>315</v>
      </c>
    </row>
    <row r="15" spans="1:19" x14ac:dyDescent="0.35">
      <c r="A15" s="8" t="s">
        <v>22</v>
      </c>
      <c r="B15" s="10" t="s">
        <v>40</v>
      </c>
      <c r="C15" s="10">
        <v>2016</v>
      </c>
      <c r="D15" s="10" t="s">
        <v>12</v>
      </c>
      <c r="E15" s="12">
        <v>6</v>
      </c>
      <c r="F15" s="10" t="s">
        <v>7</v>
      </c>
      <c r="G15" s="13" t="s">
        <v>8</v>
      </c>
    </row>
    <row r="16" spans="1:19" x14ac:dyDescent="0.35">
      <c r="A16" s="14" t="s">
        <v>23</v>
      </c>
      <c r="B16" s="9" t="s">
        <v>41</v>
      </c>
      <c r="C16" s="9">
        <v>2008</v>
      </c>
      <c r="D16" s="9" t="s">
        <v>12</v>
      </c>
      <c r="E16" s="11">
        <v>15</v>
      </c>
      <c r="F16" s="9" t="s">
        <v>34</v>
      </c>
      <c r="G16" s="15" t="s">
        <v>14</v>
      </c>
      <c r="I16" t="s">
        <v>62</v>
      </c>
    </row>
    <row r="17" spans="1:10" x14ac:dyDescent="0.35">
      <c r="A17" s="8" t="s">
        <v>24</v>
      </c>
      <c r="B17" s="10" t="s">
        <v>41</v>
      </c>
      <c r="C17" s="10">
        <v>2000</v>
      </c>
      <c r="D17" s="10" t="s">
        <v>12</v>
      </c>
      <c r="E17" s="12">
        <v>10</v>
      </c>
      <c r="F17" s="10" t="s">
        <v>13</v>
      </c>
      <c r="G17" s="13" t="s">
        <v>14</v>
      </c>
    </row>
    <row r="18" spans="1:10" x14ac:dyDescent="0.35">
      <c r="A18" s="14" t="s">
        <v>25</v>
      </c>
      <c r="B18" s="9" t="s">
        <v>40</v>
      </c>
      <c r="C18" s="9">
        <v>2015</v>
      </c>
      <c r="D18" s="9" t="s">
        <v>12</v>
      </c>
      <c r="E18" s="11">
        <v>4</v>
      </c>
      <c r="F18" s="9" t="s">
        <v>13</v>
      </c>
      <c r="G18" s="15" t="s">
        <v>14</v>
      </c>
      <c r="I18" t="s">
        <v>64</v>
      </c>
      <c r="J18" s="2">
        <f>SUMIFS(Table13[Cost Paid],Table13[Format],B5,Table13[Genre],F2)</f>
        <v>24</v>
      </c>
    </row>
    <row r="19" spans="1:10" x14ac:dyDescent="0.35">
      <c r="A19" s="8" t="s">
        <v>26</v>
      </c>
      <c r="B19" s="10" t="s">
        <v>41</v>
      </c>
      <c r="C19" s="10">
        <v>2002</v>
      </c>
      <c r="D19" s="10" t="s">
        <v>12</v>
      </c>
      <c r="E19" s="12">
        <v>2</v>
      </c>
      <c r="F19" s="10" t="s">
        <v>13</v>
      </c>
      <c r="G19" s="13" t="s">
        <v>8</v>
      </c>
    </row>
    <row r="20" spans="1:10" x14ac:dyDescent="0.35">
      <c r="A20" s="14" t="s">
        <v>27</v>
      </c>
      <c r="B20" s="9" t="s">
        <v>41</v>
      </c>
      <c r="C20" s="9">
        <v>1997</v>
      </c>
      <c r="D20" s="9" t="s">
        <v>6</v>
      </c>
      <c r="E20" s="11">
        <v>9</v>
      </c>
      <c r="F20" s="9" t="s">
        <v>34</v>
      </c>
      <c r="G20" s="15" t="s">
        <v>8</v>
      </c>
    </row>
    <row r="21" spans="1:10" x14ac:dyDescent="0.35">
      <c r="A21" s="8" t="s">
        <v>28</v>
      </c>
      <c r="B21" s="10" t="s">
        <v>40</v>
      </c>
      <c r="C21" s="10">
        <v>1999</v>
      </c>
      <c r="D21" s="10" t="s">
        <v>6</v>
      </c>
      <c r="E21" s="12">
        <v>6</v>
      </c>
      <c r="F21" s="10" t="s">
        <v>35</v>
      </c>
      <c r="G21" s="13" t="s">
        <v>8</v>
      </c>
    </row>
    <row r="22" spans="1:10" x14ac:dyDescent="0.35">
      <c r="A22" s="14" t="s">
        <v>29</v>
      </c>
      <c r="B22" s="9" t="s">
        <v>41</v>
      </c>
      <c r="C22" s="9">
        <v>2003</v>
      </c>
      <c r="D22" s="9" t="s">
        <v>12</v>
      </c>
      <c r="E22" s="11">
        <v>5</v>
      </c>
      <c r="F22" s="9" t="s">
        <v>35</v>
      </c>
      <c r="G22" s="15" t="s">
        <v>8</v>
      </c>
    </row>
    <row r="23" spans="1:10" x14ac:dyDescent="0.35">
      <c r="A23" s="8" t="s">
        <v>30</v>
      </c>
      <c r="B23" s="10" t="s">
        <v>40</v>
      </c>
      <c r="C23" s="10">
        <v>2016</v>
      </c>
      <c r="D23" s="10" t="s">
        <v>12</v>
      </c>
      <c r="E23" s="12">
        <v>8</v>
      </c>
      <c r="F23" s="10" t="s">
        <v>7</v>
      </c>
      <c r="G23" s="13" t="s">
        <v>14</v>
      </c>
    </row>
    <row r="24" spans="1:10" x14ac:dyDescent="0.35">
      <c r="A24" s="14" t="s">
        <v>31</v>
      </c>
      <c r="B24" s="9" t="s">
        <v>40</v>
      </c>
      <c r="C24" s="9">
        <v>2015</v>
      </c>
      <c r="D24" s="9" t="s">
        <v>12</v>
      </c>
      <c r="E24" s="11">
        <v>7</v>
      </c>
      <c r="F24" s="9" t="s">
        <v>36</v>
      </c>
      <c r="G24" s="15" t="s">
        <v>8</v>
      </c>
    </row>
    <row r="25" spans="1:10" x14ac:dyDescent="0.35">
      <c r="A25" s="8" t="s">
        <v>44</v>
      </c>
      <c r="B25" s="10" t="s">
        <v>40</v>
      </c>
      <c r="C25" s="10">
        <v>2017</v>
      </c>
      <c r="D25" s="10" t="s">
        <v>12</v>
      </c>
      <c r="E25" s="12">
        <v>11</v>
      </c>
      <c r="F25" s="10" t="s">
        <v>35</v>
      </c>
      <c r="G25" s="13" t="s">
        <v>14</v>
      </c>
    </row>
    <row r="26" spans="1:10" x14ac:dyDescent="0.35">
      <c r="A26" s="16" t="s">
        <v>45</v>
      </c>
      <c r="B26" s="9" t="s">
        <v>40</v>
      </c>
      <c r="C26" s="9">
        <v>2019</v>
      </c>
      <c r="D26" s="9" t="s">
        <v>46</v>
      </c>
      <c r="E26" s="11">
        <v>20</v>
      </c>
      <c r="F26" s="9" t="s">
        <v>32</v>
      </c>
      <c r="G26" s="15" t="s">
        <v>8</v>
      </c>
    </row>
    <row r="27" spans="1:10" x14ac:dyDescent="0.35">
      <c r="A27" s="8" t="s">
        <v>47</v>
      </c>
      <c r="B27" s="10" t="s">
        <v>40</v>
      </c>
      <c r="C27" s="10">
        <v>2019</v>
      </c>
      <c r="D27" s="10" t="s">
        <v>12</v>
      </c>
      <c r="E27" s="12">
        <v>14</v>
      </c>
      <c r="F27" s="10" t="s">
        <v>13</v>
      </c>
      <c r="G27" s="13" t="s">
        <v>14</v>
      </c>
    </row>
    <row r="28" spans="1:10" x14ac:dyDescent="0.35">
      <c r="A28" s="16" t="s">
        <v>48</v>
      </c>
      <c r="B28" s="9" t="s">
        <v>40</v>
      </c>
      <c r="C28" s="9">
        <v>2019</v>
      </c>
      <c r="D28" s="9" t="s">
        <v>12</v>
      </c>
      <c r="E28" s="11">
        <v>17</v>
      </c>
      <c r="F28" s="9" t="s">
        <v>36</v>
      </c>
      <c r="G28" s="15" t="s">
        <v>14</v>
      </c>
    </row>
    <row r="29" spans="1:10" x14ac:dyDescent="0.35">
      <c r="A29" s="8" t="s">
        <v>49</v>
      </c>
      <c r="B29" s="10" t="s">
        <v>40</v>
      </c>
      <c r="C29" s="10">
        <v>2020</v>
      </c>
      <c r="D29" s="10" t="s">
        <v>12</v>
      </c>
      <c r="E29" s="12">
        <v>12</v>
      </c>
      <c r="F29" s="10" t="s">
        <v>17</v>
      </c>
      <c r="G29" s="13" t="s">
        <v>14</v>
      </c>
    </row>
    <row r="30" spans="1:10" ht="15.5" x14ac:dyDescent="0.35">
      <c r="A30" s="16" t="s">
        <v>50</v>
      </c>
      <c r="B30" s="9" t="s">
        <v>40</v>
      </c>
      <c r="C30" s="9">
        <v>2020</v>
      </c>
      <c r="D30" s="9" t="s">
        <v>6</v>
      </c>
      <c r="E30" s="11">
        <v>15</v>
      </c>
      <c r="F30" s="9" t="s">
        <v>32</v>
      </c>
      <c r="G30" s="15" t="s">
        <v>14</v>
      </c>
      <c r="H30" s="5"/>
    </row>
    <row r="31" spans="1:10" x14ac:dyDescent="0.35">
      <c r="A31" s="8" t="s">
        <v>51</v>
      </c>
      <c r="B31" s="10" t="s">
        <v>40</v>
      </c>
      <c r="C31" s="10">
        <v>2020</v>
      </c>
      <c r="D31" s="10" t="s">
        <v>6</v>
      </c>
      <c r="E31" s="12">
        <v>22</v>
      </c>
      <c r="F31" s="10" t="s">
        <v>32</v>
      </c>
      <c r="G31" s="13" t="s">
        <v>14</v>
      </c>
    </row>
    <row r="32" spans="1:10" x14ac:dyDescent="0.35">
      <c r="A32" s="14" t="s">
        <v>52</v>
      </c>
      <c r="B32" s="9" t="s">
        <v>40</v>
      </c>
      <c r="C32" s="9">
        <v>2020</v>
      </c>
      <c r="D32" s="9" t="s">
        <v>6</v>
      </c>
      <c r="E32" s="11">
        <v>22</v>
      </c>
      <c r="F32" s="9" t="s">
        <v>7</v>
      </c>
      <c r="G32" s="15" t="s">
        <v>8</v>
      </c>
    </row>
    <row r="33" spans="1:7" x14ac:dyDescent="0.35">
      <c r="A33" s="8" t="s">
        <v>53</v>
      </c>
      <c r="B33" s="10" t="s">
        <v>40</v>
      </c>
      <c r="C33" s="10">
        <v>2020</v>
      </c>
      <c r="D33" s="10" t="s">
        <v>12</v>
      </c>
      <c r="E33" s="12">
        <v>20</v>
      </c>
      <c r="F33" s="10" t="s">
        <v>54</v>
      </c>
      <c r="G33" s="13" t="s">
        <v>8</v>
      </c>
    </row>
    <row r="34" spans="1:7" x14ac:dyDescent="0.35">
      <c r="A34" s="14" t="s">
        <v>55</v>
      </c>
      <c r="B34" s="9" t="s">
        <v>40</v>
      </c>
      <c r="C34" s="9">
        <v>2020</v>
      </c>
      <c r="D34" s="9" t="s">
        <v>12</v>
      </c>
      <c r="E34" s="11">
        <v>18</v>
      </c>
      <c r="F34" s="9" t="s">
        <v>54</v>
      </c>
      <c r="G34" s="15" t="s">
        <v>8</v>
      </c>
    </row>
    <row r="35" spans="1:7" x14ac:dyDescent="0.35">
      <c r="A35" s="8" t="s">
        <v>56</v>
      </c>
      <c r="B35" s="10" t="s">
        <v>40</v>
      </c>
      <c r="C35" s="10">
        <v>2020</v>
      </c>
      <c r="D35" s="10" t="s">
        <v>12</v>
      </c>
      <c r="E35" s="12">
        <v>20</v>
      </c>
      <c r="F35" s="10" t="s">
        <v>57</v>
      </c>
      <c r="G35" s="13" t="s">
        <v>14</v>
      </c>
    </row>
    <row r="36" spans="1:7" ht="15" thickBot="1" x14ac:dyDescent="0.4">
      <c r="A36" s="21"/>
      <c r="B36" s="22"/>
      <c r="C36" s="22"/>
      <c r="D36" s="22"/>
      <c r="E36" s="25">
        <f>COUNTIFS(Table13[Cost Paid],"&gt;10",Table13[Format],"DVD")</f>
        <v>1</v>
      </c>
      <c r="F36" s="22"/>
      <c r="G36" s="24"/>
    </row>
    <row r="37" spans="1:7" ht="16" thickTop="1" x14ac:dyDescent="0.35">
      <c r="A37" s="3"/>
      <c r="B37" s="3"/>
      <c r="C37" s="3"/>
      <c r="D37" s="3"/>
      <c r="E37" s="4"/>
      <c r="F37" s="3"/>
      <c r="G37" s="3"/>
    </row>
    <row r="38" spans="1:7" ht="15.5" x14ac:dyDescent="0.35">
      <c r="A38" s="3"/>
      <c r="B38" s="3"/>
      <c r="C38" s="3"/>
      <c r="D38" s="3"/>
      <c r="E38" s="4"/>
      <c r="F38" s="3"/>
      <c r="G38" s="3"/>
    </row>
    <row r="39" spans="1:7" ht="15.5" x14ac:dyDescent="0.35">
      <c r="A39" s="3"/>
      <c r="B39" s="3"/>
      <c r="C39" s="3"/>
      <c r="D39" s="3"/>
      <c r="E39" s="4"/>
      <c r="F39" s="3"/>
      <c r="G39" s="3"/>
    </row>
    <row r="40" spans="1:7" ht="15.5" x14ac:dyDescent="0.35">
      <c r="A40" s="3"/>
      <c r="B40" s="3"/>
      <c r="C40" s="3"/>
      <c r="D40" s="3"/>
      <c r="E40" s="4"/>
      <c r="F40" s="3"/>
      <c r="G40" s="3"/>
    </row>
    <row r="41" spans="1:7" ht="15.5" x14ac:dyDescent="0.35">
      <c r="A41" s="3"/>
      <c r="B41" s="3"/>
      <c r="C41" s="3"/>
      <c r="D41" s="3"/>
      <c r="E41" s="4"/>
      <c r="F41" s="3"/>
      <c r="G41" s="3"/>
    </row>
    <row r="42" spans="1:7" ht="15.5" x14ac:dyDescent="0.35">
      <c r="A42" s="3"/>
      <c r="B42" s="3"/>
      <c r="C42" s="3"/>
      <c r="D42" s="3"/>
      <c r="E42" s="4"/>
      <c r="F42" s="3"/>
      <c r="G42" s="3"/>
    </row>
    <row r="43" spans="1:7" ht="15.5" x14ac:dyDescent="0.35">
      <c r="A43" s="3"/>
      <c r="B43" s="3"/>
      <c r="C43" s="3"/>
      <c r="D43" s="3"/>
      <c r="E43" s="4"/>
      <c r="F43" s="3"/>
      <c r="G43" s="3"/>
    </row>
    <row r="44" spans="1:7" ht="15.5" x14ac:dyDescent="0.35">
      <c r="A44" s="3"/>
      <c r="B44" s="3"/>
      <c r="C44" s="3"/>
      <c r="D44" s="3"/>
      <c r="E44" s="4"/>
      <c r="F44" s="3"/>
      <c r="G44" s="3"/>
    </row>
    <row r="45" spans="1:7" ht="15.5" x14ac:dyDescent="0.35">
      <c r="A45" s="3"/>
      <c r="B45" s="3"/>
      <c r="C45" s="3"/>
      <c r="D45" s="3"/>
      <c r="E45" s="4"/>
      <c r="F45" s="3"/>
      <c r="G45" s="3"/>
    </row>
    <row r="46" spans="1:7" ht="15.5" x14ac:dyDescent="0.35">
      <c r="A46" s="3"/>
      <c r="B46" s="3"/>
      <c r="C46" s="3"/>
      <c r="D46" s="3"/>
      <c r="E46" s="4"/>
      <c r="F46" s="3"/>
      <c r="G46" s="3"/>
    </row>
    <row r="47" spans="1:7" ht="15.5" x14ac:dyDescent="0.35">
      <c r="A47" s="3"/>
      <c r="B47" s="3"/>
      <c r="C47" s="3"/>
      <c r="D47" s="3"/>
      <c r="E47" s="4"/>
      <c r="F47" s="3"/>
      <c r="G47" s="3"/>
    </row>
    <row r="48" spans="1:7" ht="15.5" x14ac:dyDescent="0.35">
      <c r="A48" s="3"/>
      <c r="B48" s="3"/>
      <c r="C48" s="3"/>
      <c r="D48" s="3"/>
      <c r="E48" s="4"/>
      <c r="F48" s="3"/>
      <c r="G48" s="3"/>
    </row>
    <row r="49" spans="1:7" ht="15.5" x14ac:dyDescent="0.35">
      <c r="A49" s="3"/>
      <c r="B49" s="3"/>
      <c r="C49" s="3"/>
      <c r="D49" s="3"/>
      <c r="E49" s="4"/>
      <c r="F49" s="3"/>
      <c r="G49" s="3"/>
    </row>
    <row r="50" spans="1:7" ht="15.5" x14ac:dyDescent="0.35">
      <c r="A50" s="3"/>
      <c r="B50" s="3"/>
      <c r="C50" s="3"/>
      <c r="D50" s="3"/>
      <c r="E50" s="4"/>
      <c r="F50" s="3"/>
      <c r="G50" s="3"/>
    </row>
    <row r="51" spans="1:7" ht="15.5" x14ac:dyDescent="0.35">
      <c r="A51" s="3"/>
      <c r="B51" s="3"/>
      <c r="C51" s="3"/>
      <c r="D51" s="3"/>
      <c r="E51" s="4"/>
      <c r="F51" s="3"/>
      <c r="G51" s="3"/>
    </row>
    <row r="52" spans="1:7" ht="15.5" x14ac:dyDescent="0.35">
      <c r="A52" s="3"/>
      <c r="B52" s="3"/>
      <c r="C52" s="3"/>
      <c r="D52" s="3"/>
      <c r="E52" s="4"/>
      <c r="F52" s="3"/>
      <c r="G52" s="3"/>
    </row>
    <row r="53" spans="1:7" ht="15.5" x14ac:dyDescent="0.35">
      <c r="A53" s="3"/>
      <c r="B53" s="3"/>
      <c r="C53" s="3"/>
      <c r="D53" s="3"/>
      <c r="E53" s="4"/>
      <c r="F53" s="3"/>
      <c r="G53" s="3"/>
    </row>
    <row r="54" spans="1:7" ht="15.5" x14ac:dyDescent="0.35">
      <c r="A54" s="3"/>
      <c r="B54" s="3"/>
      <c r="C54" s="3"/>
      <c r="D54" s="3"/>
      <c r="E54" s="4"/>
      <c r="F54" s="3"/>
      <c r="G54" s="3"/>
    </row>
    <row r="55" spans="1:7" ht="15.5" x14ac:dyDescent="0.35">
      <c r="A55" s="3"/>
      <c r="B55" s="3"/>
      <c r="C55" s="3"/>
      <c r="D55" s="3"/>
      <c r="E55" s="4"/>
      <c r="F55" s="3"/>
      <c r="G55" s="3"/>
    </row>
    <row r="56" spans="1:7" ht="15.5" x14ac:dyDescent="0.35">
      <c r="A56" s="3"/>
      <c r="B56" s="3"/>
      <c r="C56" s="3"/>
      <c r="D56" s="3"/>
      <c r="E56" s="4"/>
      <c r="F56" s="3"/>
      <c r="G56" s="3"/>
    </row>
    <row r="57" spans="1:7" ht="15.5" x14ac:dyDescent="0.35">
      <c r="A57" s="3"/>
      <c r="B57" s="3"/>
      <c r="C57" s="3"/>
      <c r="D57" s="3"/>
      <c r="E57" s="4"/>
      <c r="F57" s="3"/>
      <c r="G57" s="3"/>
    </row>
    <row r="58" spans="1:7" ht="15.5" x14ac:dyDescent="0.35">
      <c r="A58" s="3"/>
      <c r="B58" s="3"/>
      <c r="C58" s="3"/>
      <c r="D58" s="3"/>
      <c r="E58" s="4"/>
      <c r="F58" s="3"/>
      <c r="G58" s="3"/>
    </row>
    <row r="59" spans="1:7" ht="15.5" x14ac:dyDescent="0.35">
      <c r="A59" s="3"/>
      <c r="B59" s="3"/>
      <c r="C59" s="3"/>
      <c r="D59" s="3"/>
      <c r="E59" s="4"/>
      <c r="F59" s="3"/>
      <c r="G5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zoomScale="60" zoomScaleNormal="60" workbookViewId="0">
      <selection activeCell="J19" sqref="J19"/>
    </sheetView>
  </sheetViews>
  <sheetFormatPr defaultColWidth="8.81640625" defaultRowHeight="14.5" x14ac:dyDescent="0.35"/>
  <cols>
    <col min="1" max="1" width="33.90625" bestFit="1" customWidth="1"/>
    <col min="2" max="2" width="13.7265625" bestFit="1" customWidth="1"/>
    <col min="3" max="3" width="20.453125" bestFit="1" customWidth="1"/>
    <col min="4" max="4" width="13.1796875" bestFit="1" customWidth="1"/>
    <col min="5" max="5" width="16.7265625" style="2" bestFit="1" customWidth="1"/>
    <col min="6" max="6" width="12.90625" bestFit="1" customWidth="1"/>
    <col min="7" max="7" width="14.7265625" bestFit="1" customWidth="1"/>
    <col min="9" max="9" width="19.81640625" customWidth="1"/>
    <col min="10" max="10" width="16.453125" style="2" bestFit="1" customWidth="1"/>
  </cols>
  <sheetData>
    <row r="1" spans="1:19" s="1" customFormat="1" ht="15" thickTop="1" x14ac:dyDescent="0.35">
      <c r="A1" s="17" t="s">
        <v>0</v>
      </c>
      <c r="B1" s="18" t="s">
        <v>39</v>
      </c>
      <c r="C1" s="18" t="s">
        <v>1</v>
      </c>
      <c r="D1" s="18" t="s">
        <v>2</v>
      </c>
      <c r="E1" s="19" t="s">
        <v>37</v>
      </c>
      <c r="F1" s="18" t="s">
        <v>3</v>
      </c>
      <c r="G1" s="20" t="s">
        <v>4</v>
      </c>
      <c r="J1" s="2"/>
      <c r="K1"/>
      <c r="L1"/>
      <c r="M1"/>
      <c r="N1"/>
      <c r="O1"/>
      <c r="P1"/>
      <c r="Q1"/>
      <c r="R1"/>
      <c r="S1"/>
    </row>
    <row r="2" spans="1:19" s="1" customFormat="1" x14ac:dyDescent="0.35">
      <c r="A2" s="14" t="s">
        <v>38</v>
      </c>
      <c r="B2" s="9" t="s">
        <v>40</v>
      </c>
      <c r="C2" s="9">
        <v>2019</v>
      </c>
      <c r="D2" s="9" t="s">
        <v>12</v>
      </c>
      <c r="E2" s="11">
        <v>19</v>
      </c>
      <c r="F2" s="9" t="s">
        <v>34</v>
      </c>
      <c r="G2" s="15" t="s">
        <v>8</v>
      </c>
      <c r="J2" s="2"/>
      <c r="K2"/>
      <c r="L2"/>
      <c r="M2"/>
      <c r="N2"/>
      <c r="O2"/>
      <c r="P2"/>
      <c r="Q2"/>
      <c r="R2"/>
      <c r="S2"/>
    </row>
    <row r="3" spans="1:19" s="1" customFormat="1" x14ac:dyDescent="0.35">
      <c r="A3" s="8" t="s">
        <v>42</v>
      </c>
      <c r="B3" s="10" t="s">
        <v>40</v>
      </c>
      <c r="C3" s="10">
        <v>2020</v>
      </c>
      <c r="D3" s="10" t="s">
        <v>12</v>
      </c>
      <c r="E3" s="12">
        <v>15</v>
      </c>
      <c r="F3" s="10" t="s">
        <v>35</v>
      </c>
      <c r="G3" s="13" t="s">
        <v>8</v>
      </c>
      <c r="J3" s="2"/>
      <c r="K3"/>
      <c r="L3"/>
      <c r="M3"/>
      <c r="N3"/>
      <c r="O3"/>
      <c r="P3"/>
      <c r="Q3"/>
      <c r="R3"/>
      <c r="S3"/>
    </row>
    <row r="4" spans="1:19" s="1" customFormat="1" x14ac:dyDescent="0.35">
      <c r="A4" s="14" t="s">
        <v>43</v>
      </c>
      <c r="B4" s="9" t="s">
        <v>40</v>
      </c>
      <c r="C4" s="9">
        <v>2019</v>
      </c>
      <c r="D4" s="9" t="s">
        <v>12</v>
      </c>
      <c r="E4" s="11">
        <v>18</v>
      </c>
      <c r="F4" s="9" t="s">
        <v>35</v>
      </c>
      <c r="G4" s="15" t="s">
        <v>14</v>
      </c>
      <c r="J4" s="2"/>
      <c r="K4"/>
      <c r="L4"/>
      <c r="M4"/>
      <c r="N4"/>
      <c r="O4"/>
      <c r="P4"/>
      <c r="Q4"/>
      <c r="R4"/>
      <c r="S4"/>
    </row>
    <row r="5" spans="1:19" x14ac:dyDescent="0.35">
      <c r="A5" s="8" t="s">
        <v>5</v>
      </c>
      <c r="B5" s="10" t="s">
        <v>41</v>
      </c>
      <c r="C5" s="10">
        <v>2007</v>
      </c>
      <c r="D5" s="10" t="s">
        <v>6</v>
      </c>
      <c r="E5" s="12">
        <v>5</v>
      </c>
      <c r="F5" s="10" t="s">
        <v>7</v>
      </c>
      <c r="G5" s="13" t="s">
        <v>8</v>
      </c>
      <c r="I5" s="1"/>
      <c r="J5" s="7" t="s">
        <v>60</v>
      </c>
    </row>
    <row r="6" spans="1:19" x14ac:dyDescent="0.35">
      <c r="A6" s="14" t="s">
        <v>9</v>
      </c>
      <c r="B6" s="9" t="s">
        <v>41</v>
      </c>
      <c r="C6" s="9">
        <v>2010</v>
      </c>
      <c r="D6" s="9" t="s">
        <v>6</v>
      </c>
      <c r="E6" s="11">
        <v>9</v>
      </c>
      <c r="F6" s="9" t="s">
        <v>7</v>
      </c>
      <c r="G6" s="15" t="s">
        <v>8</v>
      </c>
      <c r="I6" s="6" t="s">
        <v>58</v>
      </c>
      <c r="J6" s="2">
        <f>SUMIFS(Table1[Cost Paid],Table1[Format],B2)</f>
        <v>315</v>
      </c>
    </row>
    <row r="7" spans="1:19" x14ac:dyDescent="0.35">
      <c r="A7" s="8" t="s">
        <v>10</v>
      </c>
      <c r="B7" s="10" t="s">
        <v>41</v>
      </c>
      <c r="C7" s="10">
        <v>2011</v>
      </c>
      <c r="D7" s="10" t="s">
        <v>6</v>
      </c>
      <c r="E7" s="12">
        <v>6</v>
      </c>
      <c r="F7" s="10" t="s">
        <v>7</v>
      </c>
      <c r="G7" s="13" t="s">
        <v>8</v>
      </c>
      <c r="I7" s="1"/>
    </row>
    <row r="8" spans="1:19" x14ac:dyDescent="0.35">
      <c r="A8" s="14" t="s">
        <v>11</v>
      </c>
      <c r="B8" s="9" t="s">
        <v>40</v>
      </c>
      <c r="C8" s="9">
        <v>2002</v>
      </c>
      <c r="D8" s="9" t="s">
        <v>12</v>
      </c>
      <c r="E8" s="11">
        <v>3</v>
      </c>
      <c r="F8" s="9" t="s">
        <v>13</v>
      </c>
      <c r="G8" s="15" t="s">
        <v>14</v>
      </c>
      <c r="I8" s="6" t="s">
        <v>59</v>
      </c>
      <c r="J8" s="2">
        <f>SUMIFS(Table1[Cost Paid],Table1[Format],B5)</f>
        <v>71</v>
      </c>
    </row>
    <row r="9" spans="1:19" x14ac:dyDescent="0.35">
      <c r="A9" s="8" t="s">
        <v>15</v>
      </c>
      <c r="B9" s="10" t="s">
        <v>40</v>
      </c>
      <c r="C9" s="10">
        <v>1999</v>
      </c>
      <c r="D9" s="10" t="s">
        <v>6</v>
      </c>
      <c r="E9" s="12">
        <v>7</v>
      </c>
      <c r="F9" s="10" t="s">
        <v>13</v>
      </c>
      <c r="G9" s="13" t="s">
        <v>8</v>
      </c>
    </row>
    <row r="10" spans="1:19" x14ac:dyDescent="0.35">
      <c r="A10" s="14" t="s">
        <v>16</v>
      </c>
      <c r="B10" s="9" t="s">
        <v>40</v>
      </c>
      <c r="C10" s="9">
        <v>2009</v>
      </c>
      <c r="D10" s="9" t="s">
        <v>12</v>
      </c>
      <c r="E10" s="11">
        <v>2</v>
      </c>
      <c r="F10" s="9" t="s">
        <v>17</v>
      </c>
      <c r="G10" s="15" t="s">
        <v>14</v>
      </c>
      <c r="I10" s="6" t="s">
        <v>63</v>
      </c>
      <c r="J10" s="2">
        <f>SUMIFS(Table1[Cost Paid],Table1[Format],B22,Table1[Genre],F2)</f>
        <v>24</v>
      </c>
    </row>
    <row r="11" spans="1:19" x14ac:dyDescent="0.35">
      <c r="A11" s="8" t="s">
        <v>18</v>
      </c>
      <c r="B11" s="10" t="s">
        <v>40</v>
      </c>
      <c r="C11" s="10">
        <v>2017</v>
      </c>
      <c r="D11" s="10" t="s">
        <v>6</v>
      </c>
      <c r="E11" s="12">
        <v>14</v>
      </c>
      <c r="F11" s="10" t="s">
        <v>32</v>
      </c>
      <c r="G11" s="13" t="s">
        <v>14</v>
      </c>
    </row>
    <row r="12" spans="1:19" x14ac:dyDescent="0.35">
      <c r="A12" s="14" t="s">
        <v>19</v>
      </c>
      <c r="B12" s="9" t="s">
        <v>41</v>
      </c>
      <c r="C12" s="9">
        <v>2009</v>
      </c>
      <c r="D12" s="9" t="s">
        <v>12</v>
      </c>
      <c r="E12" s="11">
        <v>5</v>
      </c>
      <c r="F12" s="9" t="s">
        <v>13</v>
      </c>
      <c r="G12" s="15" t="s">
        <v>14</v>
      </c>
    </row>
    <row r="13" spans="1:19" x14ac:dyDescent="0.35">
      <c r="A13" s="8" t="s">
        <v>20</v>
      </c>
      <c r="B13" s="10" t="s">
        <v>40</v>
      </c>
      <c r="C13" s="10">
        <v>2017</v>
      </c>
      <c r="D13" s="10" t="s">
        <v>6</v>
      </c>
      <c r="E13" s="12">
        <v>15</v>
      </c>
      <c r="F13" s="10" t="s">
        <v>32</v>
      </c>
      <c r="G13" s="13" t="s">
        <v>14</v>
      </c>
    </row>
    <row r="14" spans="1:19" x14ac:dyDescent="0.35">
      <c r="A14" s="14" t="s">
        <v>21</v>
      </c>
      <c r="B14" s="9" t="s">
        <v>41</v>
      </c>
      <c r="C14" s="9">
        <v>2016</v>
      </c>
      <c r="D14" s="9" t="s">
        <v>12</v>
      </c>
      <c r="E14" s="11">
        <v>5</v>
      </c>
      <c r="F14" s="9" t="s">
        <v>33</v>
      </c>
      <c r="G14" s="15" t="s">
        <v>8</v>
      </c>
      <c r="I14" t="s">
        <v>61</v>
      </c>
      <c r="J14" s="2">
        <f>SUMIFS(Table1[Cost Paid],Table1[Format],B2)</f>
        <v>315</v>
      </c>
    </row>
    <row r="15" spans="1:19" x14ac:dyDescent="0.35">
      <c r="A15" s="8" t="s">
        <v>22</v>
      </c>
      <c r="B15" s="10" t="s">
        <v>40</v>
      </c>
      <c r="C15" s="10">
        <v>2016</v>
      </c>
      <c r="D15" s="10" t="s">
        <v>12</v>
      </c>
      <c r="E15" s="12">
        <v>6</v>
      </c>
      <c r="F15" s="10" t="s">
        <v>7</v>
      </c>
      <c r="G15" s="13" t="s">
        <v>8</v>
      </c>
    </row>
    <row r="16" spans="1:19" x14ac:dyDescent="0.35">
      <c r="A16" s="14" t="s">
        <v>23</v>
      </c>
      <c r="B16" s="9" t="s">
        <v>41</v>
      </c>
      <c r="C16" s="9">
        <v>2008</v>
      </c>
      <c r="D16" s="9" t="s">
        <v>12</v>
      </c>
      <c r="E16" s="11">
        <v>15</v>
      </c>
      <c r="F16" s="9" t="s">
        <v>34</v>
      </c>
      <c r="G16" s="15" t="s">
        <v>14</v>
      </c>
      <c r="I16" t="s">
        <v>62</v>
      </c>
    </row>
    <row r="17" spans="1:10" x14ac:dyDescent="0.35">
      <c r="A17" s="8" t="s">
        <v>24</v>
      </c>
      <c r="B17" s="10" t="s">
        <v>41</v>
      </c>
      <c r="C17" s="10">
        <v>2000</v>
      </c>
      <c r="D17" s="10" t="s">
        <v>12</v>
      </c>
      <c r="E17" s="12">
        <v>10</v>
      </c>
      <c r="F17" s="10" t="s">
        <v>13</v>
      </c>
      <c r="G17" s="13" t="s">
        <v>14</v>
      </c>
    </row>
    <row r="18" spans="1:10" x14ac:dyDescent="0.35">
      <c r="A18" s="14" t="s">
        <v>25</v>
      </c>
      <c r="B18" s="9" t="s">
        <v>40</v>
      </c>
      <c r="C18" s="9">
        <v>2015</v>
      </c>
      <c r="D18" s="9" t="s">
        <v>12</v>
      </c>
      <c r="E18" s="11">
        <v>4</v>
      </c>
      <c r="F18" s="9" t="s">
        <v>13</v>
      </c>
      <c r="G18" s="15" t="s">
        <v>14</v>
      </c>
      <c r="I18" t="s">
        <v>64</v>
      </c>
      <c r="J18" s="2">
        <f>SUMIFS(Table1[Cost Paid],Table1[Format],B5,Table1[Genre],F2)</f>
        <v>24</v>
      </c>
    </row>
    <row r="19" spans="1:10" x14ac:dyDescent="0.35">
      <c r="A19" s="8" t="s">
        <v>26</v>
      </c>
      <c r="B19" s="10" t="s">
        <v>41</v>
      </c>
      <c r="C19" s="10">
        <v>2002</v>
      </c>
      <c r="D19" s="10" t="s">
        <v>12</v>
      </c>
      <c r="E19" s="12">
        <v>2</v>
      </c>
      <c r="F19" s="10" t="s">
        <v>13</v>
      </c>
      <c r="G19" s="13" t="s">
        <v>8</v>
      </c>
    </row>
    <row r="20" spans="1:10" x14ac:dyDescent="0.35">
      <c r="A20" s="14" t="s">
        <v>27</v>
      </c>
      <c r="B20" s="9" t="s">
        <v>41</v>
      </c>
      <c r="C20" s="9">
        <v>1997</v>
      </c>
      <c r="D20" s="9" t="s">
        <v>6</v>
      </c>
      <c r="E20" s="11">
        <v>9</v>
      </c>
      <c r="F20" s="9" t="s">
        <v>34</v>
      </c>
      <c r="G20" s="15" t="s">
        <v>8</v>
      </c>
    </row>
    <row r="21" spans="1:10" x14ac:dyDescent="0.35">
      <c r="A21" s="8" t="s">
        <v>28</v>
      </c>
      <c r="B21" s="10" t="s">
        <v>40</v>
      </c>
      <c r="C21" s="10">
        <v>1999</v>
      </c>
      <c r="D21" s="10" t="s">
        <v>6</v>
      </c>
      <c r="E21" s="12">
        <v>6</v>
      </c>
      <c r="F21" s="10" t="s">
        <v>35</v>
      </c>
      <c r="G21" s="13" t="s">
        <v>8</v>
      </c>
    </row>
    <row r="22" spans="1:10" x14ac:dyDescent="0.35">
      <c r="A22" s="14" t="s">
        <v>29</v>
      </c>
      <c r="B22" s="9" t="s">
        <v>41</v>
      </c>
      <c r="C22" s="9">
        <v>2003</v>
      </c>
      <c r="D22" s="9" t="s">
        <v>12</v>
      </c>
      <c r="E22" s="11">
        <v>5</v>
      </c>
      <c r="F22" s="9" t="s">
        <v>35</v>
      </c>
      <c r="G22" s="15" t="s">
        <v>8</v>
      </c>
    </row>
    <row r="23" spans="1:10" x14ac:dyDescent="0.35">
      <c r="A23" s="8" t="s">
        <v>30</v>
      </c>
      <c r="B23" s="10" t="s">
        <v>40</v>
      </c>
      <c r="C23" s="10">
        <v>2016</v>
      </c>
      <c r="D23" s="10" t="s">
        <v>12</v>
      </c>
      <c r="E23" s="12">
        <v>8</v>
      </c>
      <c r="F23" s="10" t="s">
        <v>7</v>
      </c>
      <c r="G23" s="13" t="s">
        <v>14</v>
      </c>
    </row>
    <row r="24" spans="1:10" x14ac:dyDescent="0.35">
      <c r="A24" s="14" t="s">
        <v>31</v>
      </c>
      <c r="B24" s="9" t="s">
        <v>40</v>
      </c>
      <c r="C24" s="9">
        <v>2015</v>
      </c>
      <c r="D24" s="9" t="s">
        <v>12</v>
      </c>
      <c r="E24" s="11">
        <v>7</v>
      </c>
      <c r="F24" s="9" t="s">
        <v>36</v>
      </c>
      <c r="G24" s="15" t="s">
        <v>8</v>
      </c>
    </row>
    <row r="25" spans="1:10" x14ac:dyDescent="0.35">
      <c r="A25" s="8" t="s">
        <v>44</v>
      </c>
      <c r="B25" s="10" t="s">
        <v>40</v>
      </c>
      <c r="C25" s="10">
        <v>2017</v>
      </c>
      <c r="D25" s="10" t="s">
        <v>12</v>
      </c>
      <c r="E25" s="12">
        <v>11</v>
      </c>
      <c r="F25" s="10" t="s">
        <v>35</v>
      </c>
      <c r="G25" s="13" t="s">
        <v>14</v>
      </c>
    </row>
    <row r="26" spans="1:10" x14ac:dyDescent="0.35">
      <c r="A26" s="16" t="s">
        <v>45</v>
      </c>
      <c r="B26" s="9" t="s">
        <v>40</v>
      </c>
      <c r="C26" s="9">
        <v>2019</v>
      </c>
      <c r="D26" s="9" t="s">
        <v>46</v>
      </c>
      <c r="E26" s="11">
        <v>20</v>
      </c>
      <c r="F26" s="9" t="s">
        <v>32</v>
      </c>
      <c r="G26" s="15" t="s">
        <v>8</v>
      </c>
    </row>
    <row r="27" spans="1:10" x14ac:dyDescent="0.35">
      <c r="A27" s="8" t="s">
        <v>47</v>
      </c>
      <c r="B27" s="10" t="s">
        <v>40</v>
      </c>
      <c r="C27" s="10">
        <v>2019</v>
      </c>
      <c r="D27" s="10" t="s">
        <v>12</v>
      </c>
      <c r="E27" s="12">
        <v>14</v>
      </c>
      <c r="F27" s="10" t="s">
        <v>13</v>
      </c>
      <c r="G27" s="13" t="s">
        <v>14</v>
      </c>
    </row>
    <row r="28" spans="1:10" x14ac:dyDescent="0.35">
      <c r="A28" s="16" t="s">
        <v>48</v>
      </c>
      <c r="B28" s="9" t="s">
        <v>40</v>
      </c>
      <c r="C28" s="9">
        <v>2019</v>
      </c>
      <c r="D28" s="9" t="s">
        <v>12</v>
      </c>
      <c r="E28" s="11">
        <v>17</v>
      </c>
      <c r="F28" s="9" t="s">
        <v>36</v>
      </c>
      <c r="G28" s="15" t="s">
        <v>14</v>
      </c>
    </row>
    <row r="29" spans="1:10" x14ac:dyDescent="0.35">
      <c r="A29" s="8" t="s">
        <v>49</v>
      </c>
      <c r="B29" s="10" t="s">
        <v>40</v>
      </c>
      <c r="C29" s="10">
        <v>2020</v>
      </c>
      <c r="D29" s="10" t="s">
        <v>12</v>
      </c>
      <c r="E29" s="12">
        <v>12</v>
      </c>
      <c r="F29" s="10" t="s">
        <v>17</v>
      </c>
      <c r="G29" s="13" t="s">
        <v>14</v>
      </c>
    </row>
    <row r="30" spans="1:10" ht="15.5" x14ac:dyDescent="0.35">
      <c r="A30" s="16" t="s">
        <v>50</v>
      </c>
      <c r="B30" s="9" t="s">
        <v>40</v>
      </c>
      <c r="C30" s="9">
        <v>2020</v>
      </c>
      <c r="D30" s="9" t="s">
        <v>6</v>
      </c>
      <c r="E30" s="11">
        <v>15</v>
      </c>
      <c r="F30" s="9" t="s">
        <v>32</v>
      </c>
      <c r="G30" s="15" t="s">
        <v>14</v>
      </c>
      <c r="H30" s="5"/>
    </row>
    <row r="31" spans="1:10" x14ac:dyDescent="0.35">
      <c r="A31" s="8" t="s">
        <v>51</v>
      </c>
      <c r="B31" s="10" t="s">
        <v>40</v>
      </c>
      <c r="C31" s="10">
        <v>2020</v>
      </c>
      <c r="D31" s="10" t="s">
        <v>6</v>
      </c>
      <c r="E31" s="12">
        <v>22</v>
      </c>
      <c r="F31" s="10" t="s">
        <v>32</v>
      </c>
      <c r="G31" s="13" t="s">
        <v>14</v>
      </c>
    </row>
    <row r="32" spans="1:10" x14ac:dyDescent="0.35">
      <c r="A32" s="14" t="s">
        <v>52</v>
      </c>
      <c r="B32" s="9" t="s">
        <v>40</v>
      </c>
      <c r="C32" s="9">
        <v>2020</v>
      </c>
      <c r="D32" s="9" t="s">
        <v>6</v>
      </c>
      <c r="E32" s="11">
        <v>22</v>
      </c>
      <c r="F32" s="9" t="s">
        <v>7</v>
      </c>
      <c r="G32" s="15" t="s">
        <v>8</v>
      </c>
    </row>
    <row r="33" spans="1:7" x14ac:dyDescent="0.35">
      <c r="A33" s="8" t="s">
        <v>53</v>
      </c>
      <c r="B33" s="10" t="s">
        <v>40</v>
      </c>
      <c r="C33" s="10">
        <v>2020</v>
      </c>
      <c r="D33" s="10" t="s">
        <v>12</v>
      </c>
      <c r="E33" s="12">
        <v>20</v>
      </c>
      <c r="F33" s="10" t="s">
        <v>54</v>
      </c>
      <c r="G33" s="13" t="s">
        <v>8</v>
      </c>
    </row>
    <row r="34" spans="1:7" x14ac:dyDescent="0.35">
      <c r="A34" s="14" t="s">
        <v>55</v>
      </c>
      <c r="B34" s="9" t="s">
        <v>40</v>
      </c>
      <c r="C34" s="9">
        <v>2020</v>
      </c>
      <c r="D34" s="9" t="s">
        <v>12</v>
      </c>
      <c r="E34" s="11">
        <v>18</v>
      </c>
      <c r="F34" s="9" t="s">
        <v>54</v>
      </c>
      <c r="G34" s="15" t="s">
        <v>8</v>
      </c>
    </row>
    <row r="35" spans="1:7" x14ac:dyDescent="0.35">
      <c r="A35" s="8" t="s">
        <v>56</v>
      </c>
      <c r="B35" s="10" t="s">
        <v>40</v>
      </c>
      <c r="C35" s="10">
        <v>2020</v>
      </c>
      <c r="D35" s="10" t="s">
        <v>12</v>
      </c>
      <c r="E35" s="12">
        <v>20</v>
      </c>
      <c r="F35" s="10" t="s">
        <v>57</v>
      </c>
      <c r="G35" s="13" t="s">
        <v>14</v>
      </c>
    </row>
    <row r="36" spans="1:7" ht="15" thickBot="1" x14ac:dyDescent="0.4">
      <c r="A36" s="21"/>
      <c r="B36" s="22"/>
      <c r="C36" s="22"/>
      <c r="D36" s="22"/>
      <c r="E36" s="23"/>
      <c r="F36" s="22"/>
      <c r="G36" s="24"/>
    </row>
    <row r="37" spans="1:7" ht="16" thickTop="1" x14ac:dyDescent="0.35">
      <c r="A37" s="3"/>
      <c r="B37" s="3"/>
      <c r="C37" s="3"/>
      <c r="D37" s="3"/>
      <c r="E37" s="4"/>
      <c r="F37" s="3"/>
      <c r="G37" s="3"/>
    </row>
    <row r="38" spans="1:7" ht="15.5" x14ac:dyDescent="0.35">
      <c r="A38" s="3"/>
      <c r="B38" s="3"/>
      <c r="C38" s="3"/>
      <c r="D38" s="3"/>
      <c r="E38" s="4"/>
      <c r="F38" s="3"/>
      <c r="G38" s="3"/>
    </row>
    <row r="39" spans="1:7" ht="15.5" x14ac:dyDescent="0.35">
      <c r="A39" s="3"/>
      <c r="B39" s="3"/>
      <c r="C39" s="3"/>
      <c r="D39" s="3"/>
      <c r="E39" s="4"/>
      <c r="F39" s="3"/>
      <c r="G39" s="3"/>
    </row>
    <row r="40" spans="1:7" ht="15.5" x14ac:dyDescent="0.35">
      <c r="A40" s="3"/>
      <c r="B40" s="3"/>
      <c r="C40" s="3"/>
      <c r="D40" s="3"/>
      <c r="E40" s="4"/>
      <c r="F40" s="3"/>
      <c r="G40" s="3"/>
    </row>
    <row r="41" spans="1:7" ht="15.5" x14ac:dyDescent="0.35">
      <c r="A41" s="3"/>
      <c r="B41" s="3"/>
      <c r="C41" s="3"/>
      <c r="D41" s="3"/>
      <c r="E41" s="4"/>
      <c r="F41" s="3"/>
      <c r="G41" s="3"/>
    </row>
    <row r="42" spans="1:7" ht="15.5" x14ac:dyDescent="0.35">
      <c r="A42" s="3"/>
      <c r="B42" s="3"/>
      <c r="C42" s="3"/>
      <c r="D42" s="3"/>
      <c r="E42" s="4"/>
      <c r="F42" s="3"/>
      <c r="G42" s="3"/>
    </row>
    <row r="43" spans="1:7" ht="15.5" x14ac:dyDescent="0.35">
      <c r="A43" s="3"/>
      <c r="B43" s="3"/>
      <c r="C43" s="3"/>
      <c r="D43" s="3"/>
      <c r="E43" s="4"/>
      <c r="F43" s="3"/>
      <c r="G43" s="3"/>
    </row>
    <row r="44" spans="1:7" ht="15.5" x14ac:dyDescent="0.35">
      <c r="A44" s="3"/>
      <c r="B44" s="3"/>
      <c r="C44" s="3"/>
      <c r="D44" s="3"/>
      <c r="E44" s="4"/>
      <c r="F44" s="3"/>
      <c r="G44" s="3"/>
    </row>
    <row r="45" spans="1:7" ht="15.5" x14ac:dyDescent="0.35">
      <c r="A45" s="3"/>
      <c r="B45" s="3"/>
      <c r="C45" s="3"/>
      <c r="D45" s="3"/>
      <c r="E45" s="4"/>
      <c r="F45" s="3"/>
      <c r="G45" s="3"/>
    </row>
    <row r="46" spans="1:7" ht="15.5" x14ac:dyDescent="0.35">
      <c r="A46" s="3"/>
      <c r="B46" s="3"/>
      <c r="C46" s="3"/>
      <c r="D46" s="3"/>
      <c r="E46" s="4"/>
      <c r="F46" s="3"/>
      <c r="G46" s="3"/>
    </row>
    <row r="47" spans="1:7" ht="15.5" x14ac:dyDescent="0.35">
      <c r="A47" s="3"/>
      <c r="B47" s="3"/>
      <c r="C47" s="3"/>
      <c r="D47" s="3"/>
      <c r="E47" s="4"/>
      <c r="F47" s="3"/>
      <c r="G47" s="3"/>
    </row>
    <row r="48" spans="1:7" ht="15.5" x14ac:dyDescent="0.35">
      <c r="A48" s="3"/>
      <c r="B48" s="3"/>
      <c r="C48" s="3"/>
      <c r="D48" s="3"/>
      <c r="E48" s="4"/>
      <c r="F48" s="3"/>
      <c r="G48" s="3"/>
    </row>
    <row r="49" spans="1:7" ht="15.5" x14ac:dyDescent="0.35">
      <c r="A49" s="3"/>
      <c r="B49" s="3"/>
      <c r="C49" s="3"/>
      <c r="D49" s="3"/>
      <c r="E49" s="4"/>
      <c r="F49" s="3"/>
      <c r="G49" s="3"/>
    </row>
    <row r="50" spans="1:7" ht="15.5" x14ac:dyDescent="0.35">
      <c r="A50" s="3"/>
      <c r="B50" s="3"/>
      <c r="C50" s="3"/>
      <c r="D50" s="3"/>
      <c r="E50" s="4"/>
      <c r="F50" s="3"/>
      <c r="G50" s="3"/>
    </row>
    <row r="51" spans="1:7" ht="15.5" x14ac:dyDescent="0.35">
      <c r="A51" s="3"/>
      <c r="B51" s="3"/>
      <c r="C51" s="3"/>
      <c r="D51" s="3"/>
      <c r="E51" s="4"/>
      <c r="F51" s="3"/>
      <c r="G51" s="3"/>
    </row>
    <row r="52" spans="1:7" ht="15.5" x14ac:dyDescent="0.35">
      <c r="A52" s="3"/>
      <c r="B52" s="3"/>
      <c r="C52" s="3"/>
      <c r="D52" s="3"/>
      <c r="E52" s="4"/>
      <c r="F52" s="3"/>
      <c r="G52" s="3"/>
    </row>
    <row r="53" spans="1:7" ht="15.5" x14ac:dyDescent="0.35">
      <c r="A53" s="3"/>
      <c r="B53" s="3"/>
      <c r="C53" s="3"/>
      <c r="D53" s="3"/>
      <c r="E53" s="4"/>
      <c r="F53" s="3"/>
      <c r="G53" s="3"/>
    </row>
    <row r="54" spans="1:7" ht="15.5" x14ac:dyDescent="0.35">
      <c r="A54" s="3"/>
      <c r="B54" s="3"/>
      <c r="C54" s="3"/>
      <c r="D54" s="3"/>
      <c r="E54" s="4"/>
      <c r="F54" s="3"/>
      <c r="G54" s="3"/>
    </row>
    <row r="55" spans="1:7" ht="15.5" x14ac:dyDescent="0.35">
      <c r="A55" s="3"/>
      <c r="B55" s="3"/>
      <c r="C55" s="3"/>
      <c r="D55" s="3"/>
      <c r="E55" s="4"/>
      <c r="F55" s="3"/>
      <c r="G55" s="3"/>
    </row>
    <row r="56" spans="1:7" ht="15.5" x14ac:dyDescent="0.35">
      <c r="A56" s="3"/>
      <c r="B56" s="3"/>
      <c r="C56" s="3"/>
      <c r="D56" s="3"/>
      <c r="E56" s="4"/>
      <c r="F56" s="3"/>
      <c r="G56" s="3"/>
    </row>
    <row r="57" spans="1:7" ht="15.5" x14ac:dyDescent="0.35">
      <c r="A57" s="3"/>
      <c r="B57" s="3"/>
      <c r="C57" s="3"/>
      <c r="D57" s="3"/>
      <c r="E57" s="4"/>
      <c r="F57" s="3"/>
      <c r="G57" s="3"/>
    </row>
    <row r="58" spans="1:7" ht="15.5" x14ac:dyDescent="0.35">
      <c r="A58" s="3"/>
      <c r="B58" s="3"/>
      <c r="C58" s="3"/>
      <c r="D58" s="3"/>
      <c r="E58" s="4"/>
      <c r="F58" s="3"/>
      <c r="G58" s="3"/>
    </row>
    <row r="59" spans="1:7" ht="15.5" x14ac:dyDescent="0.35">
      <c r="A59" s="3"/>
      <c r="B59" s="3"/>
      <c r="C59" s="3"/>
      <c r="D59" s="3"/>
      <c r="E59" s="4"/>
      <c r="F59" s="3"/>
      <c r="G5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countifs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Tuan Jamamim</cp:lastModifiedBy>
  <dcterms:created xsi:type="dcterms:W3CDTF">2017-04-15T19:30:41Z</dcterms:created>
  <dcterms:modified xsi:type="dcterms:W3CDTF">2026-05-13T09:56:38Z</dcterms:modified>
</cp:coreProperties>
</file>